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karmagurung/Desktop/"/>
    </mc:Choice>
  </mc:AlternateContent>
  <xr:revisionPtr revIDLastSave="0" documentId="13_ncr:9_{A2A5B9AD-92EB-3043-AA41-C57DD577F944}" xr6:coauthVersionLast="47" xr6:coauthVersionMax="47" xr10:uidLastSave="{00000000-0000-0000-0000-000000000000}"/>
  <bookViews>
    <workbookView xWindow="380" yWindow="600" windowWidth="28040" windowHeight="16840" xr2:uid="{00000000-000D-0000-FFFF-FFFF00000000}"/>
  </bookViews>
  <sheets>
    <sheet name="all_listings_1_year" sheetId="1" r:id="rId1"/>
    <sheet name="other_listings_1_year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230" i="1" l="1"/>
  <c r="G229" i="1"/>
  <c r="G228" i="1" a="1"/>
  <c r="G228" i="1" s="1"/>
  <c r="G227" i="1"/>
  <c r="J225" i="1"/>
  <c r="I225" i="1"/>
  <c r="I224" i="1"/>
  <c r="I223" i="1"/>
  <c r="I222" i="1"/>
  <c r="I119" i="2"/>
  <c r="A215" i="1"/>
  <c r="A195" i="1"/>
  <c r="A162" i="1"/>
  <c r="A143" i="1"/>
  <c r="A112" i="1"/>
  <c r="A109" i="1"/>
  <c r="A46" i="1"/>
  <c r="A36" i="1"/>
  <c r="A33" i="1"/>
  <c r="A28" i="1"/>
  <c r="A25" i="1"/>
  <c r="A24" i="1"/>
  <c r="A23" i="1"/>
  <c r="A22" i="1"/>
  <c r="A21" i="1"/>
  <c r="A20" i="1"/>
  <c r="A19" i="1"/>
  <c r="A18" i="1"/>
  <c r="A17" i="1"/>
  <c r="A16" i="1"/>
  <c r="A15" i="1"/>
  <c r="A2" i="1"/>
  <c r="I120" i="2"/>
  <c r="A118" i="2"/>
  <c r="A117" i="2"/>
  <c r="A116" i="2"/>
  <c r="A115" i="2"/>
  <c r="A114" i="2"/>
  <c r="A113" i="2"/>
  <c r="A112" i="2"/>
  <c r="A111" i="2"/>
  <c r="A110" i="2"/>
  <c r="A109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2" i="2"/>
  <c r="A3" i="1" l="1"/>
  <c r="A4" i="1"/>
  <c r="A5" i="1"/>
  <c r="A6" i="1"/>
  <c r="A7" i="1"/>
  <c r="A8" i="1"/>
  <c r="A9" i="1"/>
  <c r="A10" i="1"/>
  <c r="A11" i="1"/>
  <c r="A12" i="1"/>
  <c r="A13" i="1"/>
  <c r="A14" i="1"/>
  <c r="A26" i="1"/>
  <c r="A27" i="1"/>
  <c r="A29" i="1"/>
  <c r="A30" i="1"/>
  <c r="A31" i="1"/>
  <c r="A32" i="1"/>
  <c r="A34" i="1"/>
  <c r="A35" i="1"/>
  <c r="A37" i="1"/>
  <c r="A38" i="1"/>
  <c r="A39" i="1"/>
  <c r="A40" i="1"/>
  <c r="A41" i="1"/>
  <c r="A42" i="1"/>
  <c r="A43" i="1"/>
  <c r="A44" i="1"/>
  <c r="A45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10" i="1"/>
  <c r="A111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6" i="1"/>
  <c r="A217" i="1"/>
  <c r="A218" i="1"/>
  <c r="A219" i="1"/>
  <c r="A220" i="1"/>
  <c r="A221" i="1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<sst xmlns="http://purl.oclc.org/ooxml/spreadsheetml/main" count="1035" uniqueCount="683">
  <si>
    <t>#</t>
  </si>
  <si>
    <t>BBC</t>
  </si>
  <si>
    <t>1 year</t>
  </si>
  <si>
    <t>CFCL</t>
  </si>
  <si>
    <t>BPCL</t>
  </si>
  <si>
    <t>CBBL</t>
  </si>
  <si>
    <t>DDBL</t>
  </si>
  <si>
    <t>CHCL</t>
  </si>
  <si>
    <t>EDBL</t>
  </si>
  <si>
    <t>AHPC</t>
  </si>
  <si>
    <t>ALICL</t>
  </si>
  <si>
    <t>ADBL</t>
  </si>
  <si>
    <t>SCB</t>
  </si>
  <si>
    <t>SBL</t>
  </si>
  <si>
    <t>SBI</t>
  </si>
  <si>
    <t>PCBL</t>
  </si>
  <si>
    <t>NTC</t>
  </si>
  <si>
    <t>NHPC</t>
  </si>
  <si>
    <t>NABIL</t>
  </si>
  <si>
    <t>NMB</t>
  </si>
  <si>
    <t>LICN</t>
  </si>
  <si>
    <t>KBL</t>
  </si>
  <si>
    <t>JBBL</t>
  </si>
  <si>
    <t>ICFC</t>
  </si>
  <si>
    <t>HBL</t>
  </si>
  <si>
    <t>GBBL</t>
  </si>
  <si>
    <t>EBL</t>
  </si>
  <si>
    <t>MBL</t>
  </si>
  <si>
    <t>NFS</t>
  </si>
  <si>
    <t>SHL</t>
  </si>
  <si>
    <t>SWBBL</t>
  </si>
  <si>
    <t>SICL</t>
  </si>
  <si>
    <t>SFCL</t>
  </si>
  <si>
    <t>NLICL</t>
  </si>
  <si>
    <t>BNT</t>
  </si>
  <si>
    <t>NIL</t>
  </si>
  <si>
    <t>NLIC</t>
  </si>
  <si>
    <t>OHL</t>
  </si>
  <si>
    <t>TRH</t>
  </si>
  <si>
    <t>UNL</t>
  </si>
  <si>
    <t>MDB</t>
  </si>
  <si>
    <t>SIFC</t>
  </si>
  <si>
    <t>JFL</t>
  </si>
  <si>
    <t>NUBL</t>
  </si>
  <si>
    <t>CIT</t>
  </si>
  <si>
    <t>NABBC</t>
  </si>
  <si>
    <t>BNL</t>
  </si>
  <si>
    <t>NICL</t>
  </si>
  <si>
    <t>BFC</t>
  </si>
  <si>
    <t>PROFL</t>
  </si>
  <si>
    <t>PFL</t>
  </si>
  <si>
    <t>GFCL</t>
  </si>
  <si>
    <t>GMFIL</t>
  </si>
  <si>
    <t>CORBL</t>
  </si>
  <si>
    <t>HDL</t>
  </si>
  <si>
    <t>MNBBL</t>
  </si>
  <si>
    <t>SADBL</t>
  </si>
  <si>
    <t>STC</t>
  </si>
  <si>
    <t>MPFL</t>
  </si>
  <si>
    <t>SANIMA</t>
  </si>
  <si>
    <t>FMDBL</t>
  </si>
  <si>
    <t>GBIME</t>
  </si>
  <si>
    <t>MFIL</t>
  </si>
  <si>
    <t>NBL</t>
  </si>
  <si>
    <t>SLBBL</t>
  </si>
  <si>
    <t>NICA</t>
  </si>
  <si>
    <t>NLG</t>
  </si>
  <si>
    <t>SHINE</t>
  </si>
  <si>
    <t>SINDU</t>
  </si>
  <si>
    <t>SKBBL</t>
  </si>
  <si>
    <t>SHPC</t>
  </si>
  <si>
    <t>KMCDB</t>
  </si>
  <si>
    <t>MLBBL</t>
  </si>
  <si>
    <t>RLFL</t>
  </si>
  <si>
    <t>LLBS</t>
  </si>
  <si>
    <t>PRVU</t>
  </si>
  <si>
    <t>PRIN</t>
  </si>
  <si>
    <t>RBCL</t>
  </si>
  <si>
    <t>RBCLPO</t>
  </si>
  <si>
    <t>BARUN</t>
  </si>
  <si>
    <t>VLBS</t>
  </si>
  <si>
    <t>API</t>
  </si>
  <si>
    <t>GBLBS</t>
  </si>
  <si>
    <t>HLBSL</t>
  </si>
  <si>
    <t>JSLBB</t>
  </si>
  <si>
    <t>GILB</t>
  </si>
  <si>
    <t>NMBMF</t>
  </si>
  <si>
    <t>HIDCL</t>
  </si>
  <si>
    <t>MERO</t>
  </si>
  <si>
    <t>NGPL</t>
  </si>
  <si>
    <t>GRDBL</t>
  </si>
  <si>
    <t>MLBL</t>
  </si>
  <si>
    <t>KKHC</t>
  </si>
  <si>
    <t>NMFBS</t>
  </si>
  <si>
    <t>RSDC</t>
  </si>
  <si>
    <t>DHPL</t>
  </si>
  <si>
    <t>GUFL</t>
  </si>
  <si>
    <t>AKPL</t>
  </si>
  <si>
    <t>SPDL</t>
  </si>
  <si>
    <t>FOWAD</t>
  </si>
  <si>
    <t>UMHL</t>
  </si>
  <si>
    <t>LBBL</t>
  </si>
  <si>
    <t>SMATA</t>
  </si>
  <si>
    <t>CHL</t>
  </si>
  <si>
    <t>HPPL</t>
  </si>
  <si>
    <t>MSLB</t>
  </si>
  <si>
    <t>KSBBL</t>
  </si>
  <si>
    <t>NHDL</t>
  </si>
  <si>
    <t>MLBLPO</t>
  </si>
  <si>
    <t>SEF</t>
  </si>
  <si>
    <t>RADHI</t>
  </si>
  <si>
    <t>SMB</t>
  </si>
  <si>
    <t>NADEP</t>
  </si>
  <si>
    <t>KPCL</t>
  </si>
  <si>
    <t>PMHPL</t>
  </si>
  <si>
    <t>AKJCL</t>
  </si>
  <si>
    <t>JOSHI</t>
  </si>
  <si>
    <t>UPPER</t>
  </si>
  <si>
    <t>SLBSL</t>
  </si>
  <si>
    <t>GHL</t>
  </si>
  <si>
    <t>ALBSL</t>
  </si>
  <si>
    <t>SHIVM</t>
  </si>
  <si>
    <t>UPCL</t>
  </si>
  <si>
    <t>MHNL</t>
  </si>
  <si>
    <t>PPCL</t>
  </si>
  <si>
    <t>HURJA</t>
  </si>
  <si>
    <t>GLBSL</t>
  </si>
  <si>
    <t>GMFBS</t>
  </si>
  <si>
    <t>UNHPL</t>
  </si>
  <si>
    <t>SMFBS</t>
  </si>
  <si>
    <t>ILBS</t>
  </si>
  <si>
    <t>RHPL</t>
  </si>
  <si>
    <t>SJCL</t>
  </si>
  <si>
    <t>NICBF</t>
  </si>
  <si>
    <t>SAPDBL</t>
  </si>
  <si>
    <t>NBF2</t>
  </si>
  <si>
    <t>NRIC</t>
  </si>
  <si>
    <t>NICLBSL</t>
  </si>
  <si>
    <t>NMB50</t>
  </si>
  <si>
    <t>SFMF</t>
  </si>
  <si>
    <t>ACLBSL</t>
  </si>
  <si>
    <t>NRN</t>
  </si>
  <si>
    <t>USLB</t>
  </si>
  <si>
    <t>LUK</t>
  </si>
  <si>
    <t>SBIBD86</t>
  </si>
  <si>
    <t>LEC</t>
  </si>
  <si>
    <t>SSHL</t>
  </si>
  <si>
    <t>PBLD84</t>
  </si>
  <si>
    <t>CMF2</t>
  </si>
  <si>
    <t>MEN</t>
  </si>
  <si>
    <t>UMRH</t>
  </si>
  <si>
    <t>SIGS2</t>
  </si>
  <si>
    <t>CGH</t>
  </si>
  <si>
    <t>NIFRA</t>
  </si>
  <si>
    <t>SLCF</t>
  </si>
  <si>
    <t>GLH</t>
  </si>
  <si>
    <t>MLBSL</t>
  </si>
  <si>
    <t>KEF</t>
  </si>
  <si>
    <t>MBLD2085</t>
  </si>
  <si>
    <t>SHEL</t>
  </si>
  <si>
    <t>ADBLD83</t>
  </si>
  <si>
    <t>RURU</t>
  </si>
  <si>
    <t>NBLD82</t>
  </si>
  <si>
    <t>CHDC</t>
  </si>
  <si>
    <t>SBCF</t>
  </si>
  <si>
    <t>PSF</t>
  </si>
  <si>
    <t>NIBSF2</t>
  </si>
  <si>
    <t>GWFD83</t>
  </si>
  <si>
    <t>JBLB</t>
  </si>
  <si>
    <t>RMF1</t>
  </si>
  <si>
    <t>NICSF</t>
  </si>
  <si>
    <t>MKJC</t>
  </si>
  <si>
    <t>MLBS</t>
  </si>
  <si>
    <t>HDHPC</t>
  </si>
  <si>
    <t>SDBD87</t>
  </si>
  <si>
    <t>SAHAS</t>
  </si>
  <si>
    <t>TPC</t>
  </si>
  <si>
    <t>MMF1</t>
  </si>
  <si>
    <t>NBF3</t>
  </si>
  <si>
    <t>NIBD84</t>
  </si>
  <si>
    <t>SPC</t>
  </si>
  <si>
    <t>NYADI</t>
  </si>
  <si>
    <t>MBJC</t>
  </si>
  <si>
    <t>BNHC</t>
  </si>
  <si>
    <t>WNLB</t>
  </si>
  <si>
    <t>BOKD86</t>
  </si>
  <si>
    <t>ENL</t>
  </si>
  <si>
    <t>NESDO</t>
  </si>
  <si>
    <t>GVL</t>
  </si>
  <si>
    <t>NBLD87</t>
  </si>
  <si>
    <t>SWMF</t>
  </si>
  <si>
    <t>BHL</t>
  </si>
  <si>
    <t>ULBSL</t>
  </si>
  <si>
    <t>CYCL</t>
  </si>
  <si>
    <t>RFPL</t>
  </si>
  <si>
    <t>DORDI</t>
  </si>
  <si>
    <t>GBBD85</t>
  </si>
  <si>
    <t>CCBD88</t>
  </si>
  <si>
    <t>KDBY</t>
  </si>
  <si>
    <t>BHDC</t>
  </si>
  <si>
    <t>HHL</t>
  </si>
  <si>
    <t>HEI</t>
  </si>
  <si>
    <t>UHEWA</t>
  </si>
  <si>
    <t>RIDI</t>
  </si>
  <si>
    <t>MHL</t>
  </si>
  <si>
    <t>SGHC</t>
  </si>
  <si>
    <t>USHEC</t>
  </si>
  <si>
    <t>PBD88</t>
  </si>
  <si>
    <t>HIDCLP</t>
  </si>
  <si>
    <t>HEIP</t>
  </si>
  <si>
    <t>RHGCL</t>
  </si>
  <si>
    <t>NICFC</t>
  </si>
  <si>
    <t>AVYAN</t>
  </si>
  <si>
    <t>GIBF1</t>
  </si>
  <si>
    <t>PPL</t>
  </si>
  <si>
    <t>SBID83</t>
  </si>
  <si>
    <t>SPHL</t>
  </si>
  <si>
    <t>DLBS</t>
  </si>
  <si>
    <t>SIKLES</t>
  </si>
  <si>
    <t>PBLD87</t>
  </si>
  <si>
    <t>EHPL</t>
  </si>
  <si>
    <t>PHCL</t>
  </si>
  <si>
    <t>SHLB</t>
  </si>
  <si>
    <t>BHPL</t>
  </si>
  <si>
    <t>SGIC</t>
  </si>
  <si>
    <t>SJLIC</t>
  </si>
  <si>
    <t>NIMB</t>
  </si>
  <si>
    <t>UNLB</t>
  </si>
  <si>
    <t>SMHL</t>
  </si>
  <si>
    <t>SPL</t>
  </si>
  <si>
    <t>SAGF</t>
  </si>
  <si>
    <t>NIMBPO</t>
  </si>
  <si>
    <t>MKHC</t>
  </si>
  <si>
    <t>KDL</t>
  </si>
  <si>
    <t>AHL</t>
  </si>
  <si>
    <t>SMH</t>
  </si>
  <si>
    <t>NSIF2</t>
  </si>
  <si>
    <t>SPIL</t>
  </si>
  <si>
    <t>TAMOR</t>
  </si>
  <si>
    <t>MHCL</t>
  </si>
  <si>
    <t>SMJC</t>
  </si>
  <si>
    <t>SFEF</t>
  </si>
  <si>
    <t>NIBLGF</t>
  </si>
  <si>
    <t>ANLB</t>
  </si>
  <si>
    <t>MAKAR</t>
  </si>
  <si>
    <t>SALICO</t>
  </si>
  <si>
    <t>MKHL</t>
  </si>
  <si>
    <t>SRLI</t>
  </si>
  <si>
    <t>IGI</t>
  </si>
  <si>
    <t>BEDC</t>
  </si>
  <si>
    <t>DOLTI</t>
  </si>
  <si>
    <t>PRSF</t>
  </si>
  <si>
    <t>CITY</t>
  </si>
  <si>
    <t>MCHL</t>
  </si>
  <si>
    <t>IHL</t>
  </si>
  <si>
    <t>HLI</t>
  </si>
  <si>
    <t>MEL</t>
  </si>
  <si>
    <t>RAWA</t>
  </si>
  <si>
    <t>CIZBD86</t>
  </si>
  <si>
    <t>UAIL</t>
  </si>
  <si>
    <t>RMF2</t>
  </si>
  <si>
    <t>ILI</t>
  </si>
  <si>
    <t>NRM</t>
  </si>
  <si>
    <t>TSHL</t>
  </si>
  <si>
    <t>USHL</t>
  </si>
  <si>
    <t>GCIL</t>
  </si>
  <si>
    <t>C30MF</t>
  </si>
  <si>
    <t>KBSH</t>
  </si>
  <si>
    <t>LSL</t>
  </si>
  <si>
    <t>RNLI</t>
  </si>
  <si>
    <t>LVF2</t>
  </si>
  <si>
    <t>SNLI</t>
  </si>
  <si>
    <t>MEHL</t>
  </si>
  <si>
    <t>ULHC</t>
  </si>
  <si>
    <t>CLI</t>
  </si>
  <si>
    <t>MANDU</t>
  </si>
  <si>
    <t>HATHY</t>
  </si>
  <si>
    <t>BGWT</t>
  </si>
  <si>
    <t>MSHL</t>
  </si>
  <si>
    <t>SONA</t>
  </si>
  <si>
    <t>MMKJL</t>
  </si>
  <si>
    <t>TVCL</t>
  </si>
  <si>
    <t>MKCL</t>
  </si>
  <si>
    <t>HBLD86</t>
  </si>
  <si>
    <t>PMLI</t>
  </si>
  <si>
    <t>RBBD83</t>
  </si>
  <si>
    <t>VLUCL</t>
  </si>
  <si>
    <t>CKHL</t>
  </si>
  <si>
    <t>NWCL</t>
  </si>
  <si>
    <t>SBID89</t>
  </si>
  <si>
    <t>SIGS3</t>
  </si>
  <si>
    <t>HRL</t>
  </si>
  <si>
    <t>H8020</t>
  </si>
  <si>
    <t>NICGF2</t>
  </si>
  <si>
    <t>SARBTM</t>
  </si>
  <si>
    <t>MLBLD89</t>
  </si>
  <si>
    <t>CIZBD90</t>
  </si>
  <si>
    <t>KSY</t>
  </si>
  <si>
    <t>NMLBBL</t>
  </si>
  <si>
    <t>NIBLSTF</t>
  </si>
  <si>
    <t>BOKD86KA</t>
  </si>
  <si>
    <t>MATRI</t>
  </si>
  <si>
    <t>SMPDA</t>
  </si>
  <si>
    <t>MNMF1</t>
  </si>
  <si>
    <t>GMLI</t>
  </si>
  <si>
    <t>GSY</t>
  </si>
  <si>
    <t>ICFCD88</t>
  </si>
  <si>
    <t>NMIC</t>
  </si>
  <si>
    <t>CREST</t>
  </si>
  <si>
    <t>NMBHF2</t>
  </si>
  <si>
    <t>OMPL</t>
  </si>
  <si>
    <t>EBLD91</t>
  </si>
  <si>
    <t>MBLEF</t>
  </si>
  <si>
    <t>PURE</t>
  </si>
  <si>
    <t>RSY</t>
  </si>
  <si>
    <t>NIFRAGED</t>
  </si>
  <si>
    <t>TTL</t>
  </si>
  <si>
    <t>SANVI</t>
  </si>
  <si>
    <t>RBBD2088</t>
  </si>
  <si>
    <t>BHCL</t>
  </si>
  <si>
    <t>GBIMESY2</t>
  </si>
  <si>
    <t>HIMSTAR</t>
  </si>
  <si>
    <t>SBLD2091</t>
  </si>
  <si>
    <t>NICAD2091</t>
  </si>
  <si>
    <t>MABEL</t>
  </si>
  <si>
    <t>HLICF</t>
  </si>
  <si>
    <t>DHEL</t>
  </si>
  <si>
    <t>SAGAR</t>
  </si>
  <si>
    <t>BUNGAL</t>
  </si>
  <si>
    <t>BANDIPUR</t>
  </si>
  <si>
    <t>SHINED</t>
  </si>
  <si>
    <t>SWASTIK</t>
  </si>
  <si>
    <t>JHAPA</t>
  </si>
  <si>
    <t>NABILD2089</t>
  </si>
  <si>
    <t>SAIL</t>
  </si>
  <si>
    <t>SYPNL</t>
  </si>
  <si>
    <t>RBBF40</t>
  </si>
  <si>
    <t>RSML</t>
  </si>
  <si>
    <t>SABBL</t>
  </si>
  <si>
    <t>Ticker</t>
  </si>
  <si>
    <t>Name</t>
  </si>
  <si>
    <t>Listing_Date</t>
  </si>
  <si>
    <t>Window_End</t>
  </si>
  <si>
    <t>Timeframe</t>
  </si>
  <si>
    <t>Listing_Price</t>
  </si>
  <si>
    <t>End_Price</t>
  </si>
  <si>
    <t>Total_Return_%</t>
  </si>
  <si>
    <t>Bishal Bazar Company Limited</t>
  </si>
  <si>
    <t>Central Finance Limited</t>
  </si>
  <si>
    <t>Butwal Power Company Limited</t>
  </si>
  <si>
    <t>Chhimek Laghubitta Bittiya Sanstha Limited</t>
  </si>
  <si>
    <t>Deprosc Laghubitta Bittiya Sanstha Limited</t>
  </si>
  <si>
    <t>Chilime Hydro power Company Limited</t>
  </si>
  <si>
    <t>Arun Valley Hydropower Development Company Limited</t>
  </si>
  <si>
    <t>Asian Life Insurance Company Limited</t>
  </si>
  <si>
    <t>Agricultural Development Bank Limited</t>
  </si>
  <si>
    <t>Machhapuchchhre Bank Limited</t>
  </si>
  <si>
    <t>Everest Bank Limited</t>
  </si>
  <si>
    <t>Garima Bikas Bank Limited</t>
  </si>
  <si>
    <t>Himalayan Bank Limited</t>
  </si>
  <si>
    <t>ICFC Finance Limited</t>
  </si>
  <si>
    <t>Kumari Bank Limited</t>
  </si>
  <si>
    <t>Life Insurance Corporation Nepal Limited</t>
  </si>
  <si>
    <t>National Hydro Power Company Limited</t>
  </si>
  <si>
    <t>Nabil Bank Limited</t>
  </si>
  <si>
    <t>Nepal Doorsanchar Company Limited</t>
  </si>
  <si>
    <t>Prime Commercial Bank Limited</t>
  </si>
  <si>
    <t>Nepal SBI Bank Limited</t>
  </si>
  <si>
    <t>Siddhartha Bank Limited</t>
  </si>
  <si>
    <t>Standard Chartered Bank Nepal Limited</t>
  </si>
  <si>
    <t>NMB Bank Limited</t>
  </si>
  <si>
    <t>Nepal Finance Limited</t>
  </si>
  <si>
    <t>Soaltee Hotel Limited</t>
  </si>
  <si>
    <t>Swabalamban Laghubitta Bittiya Sanstha Limited</t>
  </si>
  <si>
    <t>Nepal Life Insurance Company Limited</t>
  </si>
  <si>
    <t>Neco Insurance Limited</t>
  </si>
  <si>
    <t>Shikhar Insurance Company Limited</t>
  </si>
  <si>
    <t>National Life Insurance Company Limited</t>
  </si>
  <si>
    <t>Bottlers Nepal Limited</t>
  </si>
  <si>
    <t>Oriental Hotel Limited</t>
  </si>
  <si>
    <t>Taragaon Regency Hotel Limited</t>
  </si>
  <si>
    <t>Unilever Nepal Limited</t>
  </si>
  <si>
    <t>Nirdhan Utthan Laghubitta Bittiya Sanstha Limited</t>
  </si>
  <si>
    <t>Citizen Investment Trust</t>
  </si>
  <si>
    <t>Nepal Insurance Company Limited</t>
  </si>
  <si>
    <t>Himalayan Distillery Limited</t>
  </si>
  <si>
    <t>Muktinath Bikas Bank Limited</t>
  </si>
  <si>
    <t>Salt Trading Corporation Limited</t>
  </si>
  <si>
    <t>Sanima Bank Limited</t>
  </si>
  <si>
    <t>First Microfinance Laghubitta Bittiya Sanstha Limited</t>
  </si>
  <si>
    <t>Global IME Bank Limited</t>
  </si>
  <si>
    <t>Nepal Bank Limited</t>
  </si>
  <si>
    <t>Swarojgar Laghubitta Bittiya Sanstha Limited</t>
  </si>
  <si>
    <t>NIC Asia Bank Limited</t>
  </si>
  <si>
    <t>NLG Insurance Company Limited</t>
  </si>
  <si>
    <t>Sana Kisan Bikas Laghubitta Bittiya Sanstha Limited</t>
  </si>
  <si>
    <t>Sanima Mai Hydropower Limited</t>
  </si>
  <si>
    <t>Kalika Laghubitta Bittiya Sanstha Limited</t>
  </si>
  <si>
    <t>Mithila Laghubitta Bittiya Sanstha Limited</t>
  </si>
  <si>
    <t>Laxmi Laghubitta Bittiya Sanstha Limited</t>
  </si>
  <si>
    <t>Prabhu Bank Limited</t>
  </si>
  <si>
    <t>Prabhu Insurance Company Limited</t>
  </si>
  <si>
    <t>Rastriya Beema Company Limited</t>
  </si>
  <si>
    <t>Barun Hydropower Company Limited</t>
  </si>
  <si>
    <t>Vijaya Laghubitta Bittiya Sanstha Limited</t>
  </si>
  <si>
    <t>Api Power Company Limited</t>
  </si>
  <si>
    <t>Grameen Bikas Laghubitta Bittiya Sanstha Limited</t>
  </si>
  <si>
    <t>Himalayan Laghubitta Bittiya Sanstha Limited</t>
  </si>
  <si>
    <t>Janautthan Samudayic Laghubitta Bittiya Sanstha Limited</t>
  </si>
  <si>
    <t>Global IME Laghubitta Bittiya Sanstha Limited</t>
  </si>
  <si>
    <t>Hydroelectricity Investment and Development Company Limited</t>
  </si>
  <si>
    <t>Mero Microfinance Laghubitta Bittiya Sanstha Limited</t>
  </si>
  <si>
    <t>Ngadi Group Power Limited</t>
  </si>
  <si>
    <t>Khani Khola Hydropower Company Limited</t>
  </si>
  <si>
    <t>National Laghubitta Bittiya Sanstha Limited</t>
  </si>
  <si>
    <t>RSDC Laghubitta Bittiya Sanstha Limited</t>
  </si>
  <si>
    <t>Dibyashwari Hydropower Company Limited</t>
  </si>
  <si>
    <t>Arun Kabeli Power Limited</t>
  </si>
  <si>
    <t>Synergy Power Development Limited</t>
  </si>
  <si>
    <t>Forward Microfinance Laghubitta Bittiya Sanstha Limited</t>
  </si>
  <si>
    <t>United Modi Hydropower Limited</t>
  </si>
  <si>
    <t>Samata Gharelu Laghubitta Bittiya Sanstha Limited</t>
  </si>
  <si>
    <t>Chhyangdi Hydropower Company Limited</t>
  </si>
  <si>
    <t>Himalayan Power Partner Limited</t>
  </si>
  <si>
    <t>Mahuli Laghubitta Bittiya Sanstha Limited</t>
  </si>
  <si>
    <t>Nepal Hydro Developer Limited</t>
  </si>
  <si>
    <t>Radhi Bidyut Company Limited</t>
  </si>
  <si>
    <t>Support Laghubitta Bittiya Sanstha Limited</t>
  </si>
  <si>
    <t>NADEP Laghubitta Bittiya Sanstha Limited</t>
  </si>
  <si>
    <t>Kalika Power Company Limited</t>
  </si>
  <si>
    <t>Panchakanya Mai Hydropower Limited</t>
  </si>
  <si>
    <t>Ankhukhola Hydropower Company Limited</t>
  </si>
  <si>
    <t>Joshi Hydropower Development Company Limited</t>
  </si>
  <si>
    <t>Upper Tamakoshi Hydropower Limited</t>
  </si>
  <si>
    <t>Samudayik Laghubitta Bittiya Sanstha Limited</t>
  </si>
  <si>
    <t>Ghalemdi Hydro Limited</t>
  </si>
  <si>
    <t>Asha Laghubitta Bittiya Sanstha Limited</t>
  </si>
  <si>
    <t>Shivam Cements Limited</t>
  </si>
  <si>
    <t>Universal Power Company Limited</t>
  </si>
  <si>
    <t>Mountain Hydro Nepal Limited</t>
  </si>
  <si>
    <t>Panchthar Power Company Limited</t>
  </si>
  <si>
    <t>Himalaya Urja Bikas Company Limited</t>
  </si>
  <si>
    <t>Gurans Laghubitta Bittiya Sanstha Limited</t>
  </si>
  <si>
    <t>Ganapati Laghubitta Bittiya Sanstha Limited</t>
  </si>
  <si>
    <t>Union Hydropower Limited</t>
  </si>
  <si>
    <t>Swabhimaan Laghubitta Bittiya Sanstha Limited</t>
  </si>
  <si>
    <t>Infinity Laghubitta Bittiya Sanstha Limited</t>
  </si>
  <si>
    <t>Rasuwagadhi Hydropower Company Limited</t>
  </si>
  <si>
    <t>Sanjen Jalavidhyut Company Limited</t>
  </si>
  <si>
    <t>NIC ASIA Balanced Fund</t>
  </si>
  <si>
    <t>Nepal Reinsurance Company Limited</t>
  </si>
  <si>
    <t>NIC Asia Laghubitta Bittiya Sanstha Limited</t>
  </si>
  <si>
    <t>NMB 50</t>
  </si>
  <si>
    <t>Aarambha Chautari Laghubitta Bittiya Sanstha Limited</t>
  </si>
  <si>
    <t>NRN Infrastructure and Development Limited</t>
  </si>
  <si>
    <t>Unnati Sahakarya Laghubitta Bittiya Sanstha Limited</t>
  </si>
  <si>
    <t>Laxmi Unnati Kosh</t>
  </si>
  <si>
    <t>Liberty Energy Company Limited</t>
  </si>
  <si>
    <t>Shiva Shree Hydropower Limited</t>
  </si>
  <si>
    <t>Mountain Energy Nepal Limited</t>
  </si>
  <si>
    <t>Mardi and R.B. Hydropower Limited</t>
  </si>
  <si>
    <t>Chandragiri Hills Limited</t>
  </si>
  <si>
    <t>Nepal Infrastructure Bank Limited</t>
  </si>
  <si>
    <t>Greenlife Hydropower Limited</t>
  </si>
  <si>
    <t>Mahila Laghubitta Bittiya Sanstha Limited</t>
  </si>
  <si>
    <t>Singati Hydro Energy Limited</t>
  </si>
  <si>
    <t>Ru Ru Jalbidhyut Pariyojana Limited</t>
  </si>
  <si>
    <t>CEDB Holdings Limited</t>
  </si>
  <si>
    <t>Sunrise Bluechip Fund</t>
  </si>
  <si>
    <t>Jeevan Bikas Laghubitta Bittiya Sanstha Limited</t>
  </si>
  <si>
    <t>Mailung Khola Jal Vidhyut Company Limited</t>
  </si>
  <si>
    <t>Manushi Laghubitta Bittiya Sanstha Limited</t>
  </si>
  <si>
    <t>Himal Dolakha Hydropower Company Limited</t>
  </si>
  <si>
    <t>Sahas Urja Limited</t>
  </si>
  <si>
    <t>Terhathum Power Company Limited</t>
  </si>
  <si>
    <t>Nabil Balanced Fund III</t>
  </si>
  <si>
    <t>Samling Power Company Limited</t>
  </si>
  <si>
    <t>Nyadi Hydropower  Limited</t>
  </si>
  <si>
    <t>Madhya Bhotekoshi Jalavidyut Company Limited</t>
  </si>
  <si>
    <t>Buddha Bhumi Nepal Hydropower Company Limited</t>
  </si>
  <si>
    <t>Wean Nepal Laghubitta Bittiya Sanstha Limited</t>
  </si>
  <si>
    <t>Emerging Nepal Limited</t>
  </si>
  <si>
    <t>Nesdo Sambridha Laghubitta Bittiya Sanstha Limited</t>
  </si>
  <si>
    <t>Green Ventures Limited</t>
  </si>
  <si>
    <t>Balephi Hydropower Limited</t>
  </si>
  <si>
    <t>Upakar Laghubitta Bittiya Sanstha Limited</t>
  </si>
  <si>
    <t>CYC Nepal Laghubitta Bittiya Sanstha Limited</t>
  </si>
  <si>
    <t>River Falls Power Limited</t>
  </si>
  <si>
    <t>Dordi Khola Hydropower Company Limited</t>
  </si>
  <si>
    <t>Kumari Dhanabriddhi Yojana</t>
  </si>
  <si>
    <t>Bindhyabasini Hydropower Development Company Limited</t>
  </si>
  <si>
    <t>Himalayan Hydropower Limited</t>
  </si>
  <si>
    <t>Himalayan Everest Insurance Limited</t>
  </si>
  <si>
    <t>Upper Hewakhola Hydropower Company Limited</t>
  </si>
  <si>
    <t>Ridi Power Company Limited</t>
  </si>
  <si>
    <t>Mandakini Hydropower Limited</t>
  </si>
  <si>
    <t>Ganga Hydropower &amp; Construction Limited</t>
  </si>
  <si>
    <t>Upper Solu Hydro Electric Company Limited</t>
  </si>
  <si>
    <t>Rapti Hydro &amp; General Construction Limited</t>
  </si>
  <si>
    <t>NIC Asia Flexi Cap Fund</t>
  </si>
  <si>
    <t>Aviyan Laghubitta Bittiya Sanstha Limited</t>
  </si>
  <si>
    <t>People's Power Limited</t>
  </si>
  <si>
    <t>Sayapatri Hydropower Limited</t>
  </si>
  <si>
    <t>Dhaulagiri Laghubitta Bittiya Sanstha Limited</t>
  </si>
  <si>
    <t>Sikles Hydropower Limited</t>
  </si>
  <si>
    <t>Eastern Hydropower Limited</t>
  </si>
  <si>
    <t>Peoples Hydropower Company Limited</t>
  </si>
  <si>
    <t>Shrijanshil Laghubitta Bittiya Sanstha Limited</t>
  </si>
  <si>
    <t>Barahi Hydropower Public Limited</t>
  </si>
  <si>
    <t>Sanima GIC Insurance Limited</t>
  </si>
  <si>
    <t>SuryaJyoti Life Insurance Company Limited</t>
  </si>
  <si>
    <t>Nepal Investment Mega Bank Limited</t>
  </si>
  <si>
    <t>Unique Nepal Laghubitta Bittiya Sanstha Limited</t>
  </si>
  <si>
    <t>Super Madi Hydropower Limited</t>
  </si>
  <si>
    <t>Shuvam Power Limited</t>
  </si>
  <si>
    <t>Maya Khola Hydropower Company Limited</t>
  </si>
  <si>
    <t>Kalinchowk Darshan Limited</t>
  </si>
  <si>
    <t>Asian Hydropower Limited</t>
  </si>
  <si>
    <t>Supermai Hydropower  Limited</t>
  </si>
  <si>
    <t>Siddhartha Premier Insurance Limited</t>
  </si>
  <si>
    <t>Sanima Middle Tamor Hydropower Limited</t>
  </si>
  <si>
    <t>Molung Hydropower Company Limited</t>
  </si>
  <si>
    <t>Sagarmatha Jalbidhyut Company Limited</t>
  </si>
  <si>
    <t>Aatmanirbhar Laghubitta Bittiya Sanstha Limited</t>
  </si>
  <si>
    <t>Makar Jitumaya Suri Hydropower Company Limited</t>
  </si>
  <si>
    <t>Sagarmatha Lumbini Insurance Company Limited</t>
  </si>
  <si>
    <t>Mai Khola Hydropower Limited</t>
  </si>
  <si>
    <t>Sanima Reliance Life Insurance Limited</t>
  </si>
  <si>
    <t>IGI Prudential Insurance Limited</t>
  </si>
  <si>
    <t>Bhugol Energy Development Company Limited</t>
  </si>
  <si>
    <t>Dolti Power Company Ltd</t>
  </si>
  <si>
    <t>City Hotel Limited</t>
  </si>
  <si>
    <t>Menchhiyam Hydropower  Limited</t>
  </si>
  <si>
    <t>Ingwa Hydropower Ltd</t>
  </si>
  <si>
    <t>Himalayan Life Insurance Limited</t>
  </si>
  <si>
    <t>Modi Energy Limited</t>
  </si>
  <si>
    <t>Rawa Energy Development Ltd.</t>
  </si>
  <si>
    <t>United Ajod Insurance Limited</t>
  </si>
  <si>
    <t>IME Life Insurance Company Limited</t>
  </si>
  <si>
    <t>Nepal Republic Media Limited</t>
  </si>
  <si>
    <t>Three Star Hydropower Limited</t>
  </si>
  <si>
    <t>Upper Syange Hydropower Limited</t>
  </si>
  <si>
    <t>Ghorahi Cement Industry Limited</t>
  </si>
  <si>
    <t>Kutheli Bukhari Small Hydropower Limited</t>
  </si>
  <si>
    <t>Laxmi Sunrise Bank Limited</t>
  </si>
  <si>
    <t>Reliable Nepal Life Insurance Limited</t>
  </si>
  <si>
    <t>Sun Nepal Life Insurance Company Limited</t>
  </si>
  <si>
    <t>Manakamana Engineering Hydropower Limited</t>
  </si>
  <si>
    <t>Upper Lohore Khola Hydropower Company Limited</t>
  </si>
  <si>
    <t>Citizen Life Insurance Company Limited</t>
  </si>
  <si>
    <t>Mandu Hydropower Limited</t>
  </si>
  <si>
    <t>Hathway Investment Nepal Limited</t>
  </si>
  <si>
    <t>Bhagawati Hydropower Development Company Limited</t>
  </si>
  <si>
    <t>Mid Solu Hydropower Company Limited</t>
  </si>
  <si>
    <t>Sonapur Minerals and Oil Limited</t>
  </si>
  <si>
    <t>Mathillo Mailun Khola Jalvidhyut Limited</t>
  </si>
  <si>
    <t>Trishuli Jal Vidhyut Company Limited</t>
  </si>
  <si>
    <t>Muktinath Krishi Company Limited</t>
  </si>
  <si>
    <t>Prabhu Mahalaxmi Life Insurance Company Limited</t>
  </si>
  <si>
    <t>Vision Lumbini Urja Company Limited</t>
  </si>
  <si>
    <t>Chirkhwa Hydro Power Limited</t>
  </si>
  <si>
    <t>Nepal Warehousing Company Limited</t>
  </si>
  <si>
    <t>Siddhartha Investment Growth Scheme 3</t>
  </si>
  <si>
    <t>Himalayan Reinsurance Limited</t>
  </si>
  <si>
    <t>Sarbottam Cement Limited</t>
  </si>
  <si>
    <t>Nerude Mirmire Laghubitta Bittiya Sanstha Limited</t>
  </si>
  <si>
    <t>Matribhumi Laghubitta Bittiya Sanstha Limited</t>
  </si>
  <si>
    <t>Sampada Laghubitta Bittiya Sanstha Limited</t>
  </si>
  <si>
    <t>Guardian Micro Life Insurance Limited</t>
  </si>
  <si>
    <t>Nepal Micro Insurance Company Limited</t>
  </si>
  <si>
    <t>Crest Micro Life Insurance Limited</t>
  </si>
  <si>
    <t>Om Megashree Pharmaceuticals Limited</t>
  </si>
  <si>
    <t>Avg Return %</t>
  </si>
  <si>
    <t>CAGR</t>
  </si>
  <si>
    <t>Excel Development Bank Limited</t>
  </si>
  <si>
    <t>Jyoti Bikash Bank Limited</t>
  </si>
  <si>
    <t>Samriddhi Finance Company Limited</t>
  </si>
  <si>
    <t>Miteri Development Bank Limited</t>
  </si>
  <si>
    <t>Shree Investment Finance Company Limited</t>
  </si>
  <si>
    <t>Janaki Finance Company Limited</t>
  </si>
  <si>
    <t>Narayani Development Bank Limited</t>
  </si>
  <si>
    <t>Best Finance Company Limited</t>
  </si>
  <si>
    <t>Progressive Finance Limited</t>
  </si>
  <si>
    <t>Pokhara Finance Limited</t>
  </si>
  <si>
    <t>Goodwill Finance Company Limited</t>
  </si>
  <si>
    <t>Guheswori Merchant Banking &amp; Finance Limited</t>
  </si>
  <si>
    <t>Corporate Development Bank Limited</t>
  </si>
  <si>
    <t>Shangrila Development Bank Limited</t>
  </si>
  <si>
    <t>Multipurpose Finance Company Limited</t>
  </si>
  <si>
    <t>Manjushree Finance Limited</t>
  </si>
  <si>
    <t>Shine Resunga Development Bank Limited</t>
  </si>
  <si>
    <t>Sindhu Bikas Bank Limited</t>
  </si>
  <si>
    <t>Reliance Finance Limited</t>
  </si>
  <si>
    <t>Rastriya Beema Company Limited Promoter Share</t>
  </si>
  <si>
    <t>NMB Laghubitta Bittiya Sanstha Limited</t>
  </si>
  <si>
    <t>Green Development Bank Limited</t>
  </si>
  <si>
    <t>Mahalaxmi Bikas Bank Limited</t>
  </si>
  <si>
    <t>Gurkhas Finance Limited</t>
  </si>
  <si>
    <t>Lumbini Bikas Bank Limited</t>
  </si>
  <si>
    <t>Kamana Sewa Bikas Bank Limited</t>
  </si>
  <si>
    <t>Mahalaxmi Bikas Bank Ltd. Promotor Share</t>
  </si>
  <si>
    <t>Siddhartha Equity Fund</t>
  </si>
  <si>
    <t>Saptakoshi Development Bank Limited</t>
  </si>
  <si>
    <t>Sunrise First Mutual Fund</t>
  </si>
  <si>
    <t>10% Nepal SBI Bank Debenture 2086</t>
  </si>
  <si>
    <t>10% Prabhu Bank Debenture 2084</t>
  </si>
  <si>
    <t>Sanima Large Cap Fund</t>
  </si>
  <si>
    <t>Kumari Equity Fund</t>
  </si>
  <si>
    <t>10.25% Machhapuchchhre Debenture 2085</t>
  </si>
  <si>
    <t>10.35% Agricultural Bank Debenture 2083</t>
  </si>
  <si>
    <t>10% Nabil Bank Debenture 2082</t>
  </si>
  <si>
    <t>Prabhu Select Fund</t>
  </si>
  <si>
    <t>12% Goodwill Finance Limited Debenture 2083</t>
  </si>
  <si>
    <t>RBB Mutual Fund 1</t>
  </si>
  <si>
    <t>9% Shangrila Development Bank Debenture, 2087</t>
  </si>
  <si>
    <t>8.5% Nepal Investment Bank Bond 2084</t>
  </si>
  <si>
    <t>8.5% BOK Debenture 2086</t>
  </si>
  <si>
    <t>8.5% Nepal Bank Debenture 2087</t>
  </si>
  <si>
    <t>Suryodaya Womi Laghubitta Bittiya Sanstha Limited</t>
  </si>
  <si>
    <t>8.75% Garima Debenture 2085</t>
  </si>
  <si>
    <t>10.50% Century Debenture 2088</t>
  </si>
  <si>
    <t>10% Prime Debenture 2088</t>
  </si>
  <si>
    <t>Hydroelectricity Investment and Development Company Limited Promoter Share</t>
  </si>
  <si>
    <t>Himalayan Everest Insurance Limited Promoter</t>
  </si>
  <si>
    <t>10.25% Nepal SBI Bank Debenture 2083</t>
  </si>
  <si>
    <t>8.5% Prabhu Bank Debenture 2087</t>
  </si>
  <si>
    <t>Sanima Growth Fund</t>
  </si>
  <si>
    <t>Nepal Investment Mega Bank Ltd. Promoter Share</t>
  </si>
  <si>
    <t>II</t>
  </si>
  <si>
    <t>Sunrise Focused Equity Fund</t>
  </si>
  <si>
    <t>NIBL Growth Fund</t>
  </si>
  <si>
    <t>Prabhu Smart Fund</t>
  </si>
  <si>
    <t>10.25% Citizens Bank Debenture 2086</t>
  </si>
  <si>
    <t>RBB Mutual Fund 2</t>
  </si>
  <si>
    <t>Citizens Super 30 Mutual Fund</t>
  </si>
  <si>
    <t>Himalayan Bank Limited Bond 2086</t>
  </si>
  <si>
    <t>8.5% RBBL Debenture 2083</t>
  </si>
  <si>
    <t>9% Nepal SBI Bank Debenture 2089</t>
  </si>
  <si>
    <t>NIC Asia Growth Fund 2</t>
  </si>
  <si>
    <t>11% Mahalaxmi Debenture 2089</t>
  </si>
  <si>
    <t>10% Citizens Bank Debenture 2090</t>
  </si>
  <si>
    <t>Kumari Sabal Yojana</t>
  </si>
  <si>
    <t>NIBL Stable Fund</t>
  </si>
  <si>
    <t>10.5% BOK Debenture 2086</t>
  </si>
  <si>
    <t>Muktinath Mutual Fund 1</t>
  </si>
  <si>
    <t>Garima Samriddhi Yojana</t>
  </si>
  <si>
    <t>9% ICFC Finance Limited Debenture 2088</t>
  </si>
  <si>
    <t>7.50% Everest Bank Limited Debenture  2091</t>
  </si>
  <si>
    <t>MBL Equity Fund</t>
  </si>
  <si>
    <t>Pure Energy Limited</t>
  </si>
  <si>
    <t>Reliable Samriddhi Yojana</t>
  </si>
  <si>
    <t>6% Nifra Harit Urja Debenture 2088/89</t>
  </si>
  <si>
    <t>Trade Tower Limited</t>
  </si>
  <si>
    <t>Sanvi Energy Limited</t>
  </si>
  <si>
    <t>7% RBBL Debenture 2088</t>
  </si>
  <si>
    <t>Bikash Hydropower Company Limited</t>
  </si>
  <si>
    <t>Him Star Urja Company Limited</t>
  </si>
  <si>
    <t>7.25% SBL Debenture 2091</t>
  </si>
  <si>
    <t>7% NIC Asia Debenture 2091</t>
  </si>
  <si>
    <t>Mabilung Energy Limited</t>
  </si>
  <si>
    <t>HLI Large Cap Fund</t>
  </si>
  <si>
    <t>Daramkhola Hydro Energy Limited</t>
  </si>
  <si>
    <t>Sagar Distillery Limited</t>
  </si>
  <si>
    <t>Bungal Hydro Limited</t>
  </si>
  <si>
    <t>Bandipur Cable Car and Tourism Limited</t>
  </si>
  <si>
    <t>Shine Resunga Debenture</t>
  </si>
  <si>
    <t>Swastik Laghubitta Bittiya Sanstha Limited</t>
  </si>
  <si>
    <t>Jhapa Energy Limited</t>
  </si>
  <si>
    <t>7% Nabil Debenture 2089</t>
  </si>
  <si>
    <t>Shreenagar Agritech Industries Limited</t>
  </si>
  <si>
    <t>SY Panel Nepal Limited</t>
  </si>
  <si>
    <t>RBB Focus 40</t>
  </si>
  <si>
    <t>Salapa Bikas Bank Limited</t>
  </si>
  <si>
    <t>Median</t>
  </si>
  <si>
    <t>Nabil Balanced Fund 2</t>
  </si>
  <si>
    <t>Siddhartha Investment Growth Scheme 2</t>
  </si>
  <si>
    <t>NIBL Samriddhi Fund 2</t>
  </si>
  <si>
    <t>Global IME Balanced Fund 1</t>
  </si>
  <si>
    <t>Negative</t>
  </si>
  <si>
    <t>Total Invested</t>
  </si>
  <si>
    <t>Total Value After 1 Year</t>
  </si>
  <si>
    <t>Total Gain/Loss</t>
  </si>
  <si>
    <t>Overall Return %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</si>
</sst>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/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14" fontId="19" fillId="34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18" fillId="35" borderId="10" xfId="0" applyFon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3" borderId="10" xfId="0" applyFill="1" applyBorder="1"/>
    <xf numFmtId="0" fontId="18" fillId="36" borderId="10" xfId="0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14" fontId="19" fillId="34" borderId="11" xfId="0" applyNumberFormat="1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4" fontId="19" fillId="34" borderId="12" xfId="0" applyNumberFormat="1" applyFont="1" applyFill="1" applyBorder="1" applyAlignment="1">
      <alignment horizontal="center" vertical="center"/>
    </xf>
    <xf numFmtId="0" fontId="0" fillId="0" borderId="12" xfId="0" applyBorder="1"/>
    <xf numFmtId="0" fontId="18" fillId="33" borderId="12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164" fontId="16" fillId="35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20" fillId="34" borderId="10" xfId="0" applyFont="1" applyFill="1" applyBorder="1" applyAlignment="1">
      <alignment horizontal="center" vertical="center"/>
    </xf>
    <xf numFmtId="14" fontId="20" fillId="34" borderId="10" xfId="0" applyNumberFormat="1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eetMetadata" Target="metadata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061D84ED-FE75-8F46-B437-B7B51872B0F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5fb5078-0c1c-4c19-a21d-4aa829fbeab1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"/>
  <sheetViews>
    <sheetView tabSelected="1" zoomScale="140" zoomScaleNormal="140" workbookViewId="0">
      <selection activeCell="D2" sqref="D2"/>
    </sheetView>
  </sheetViews>
  <sheetFormatPr baseColWidth="10" defaultRowHeight="16" x14ac:dyDescent="0.2"/>
  <cols>
    <col min="1" max="1" width="4.1640625" bestFit="1" customWidth="1"/>
    <col min="2" max="2" width="7.5" bestFit="1" customWidth="1"/>
    <col min="3" max="3" width="46.83203125" customWidth="1"/>
    <col min="4" max="4" width="11.5" bestFit="1" customWidth="1"/>
    <col min="5" max="5" width="12" bestFit="1" customWidth="1"/>
    <col min="6" max="6" width="12.33203125" bestFit="1" customWidth="1"/>
    <col min="7" max="7" width="11.5" bestFit="1" customWidth="1"/>
    <col min="8" max="8" width="12.5" bestFit="1" customWidth="1"/>
    <col min="9" max="9" width="14.5" bestFit="1" customWidth="1"/>
  </cols>
  <sheetData>
    <row r="1" spans="1:9" ht="35" customHeight="1" x14ac:dyDescent="0.2">
      <c r="A1" s="22" t="s">
        <v>0</v>
      </c>
      <c r="B1" s="22" t="s">
        <v>339</v>
      </c>
      <c r="C1" s="22" t="s">
        <v>340</v>
      </c>
      <c r="D1" s="22" t="s">
        <v>341</v>
      </c>
      <c r="E1" s="22" t="s">
        <v>342</v>
      </c>
      <c r="F1" s="22" t="s">
        <v>343</v>
      </c>
      <c r="G1" s="22" t="s">
        <v>344</v>
      </c>
      <c r="H1" s="22" t="s">
        <v>345</v>
      </c>
      <c r="I1" s="22" t="s">
        <v>346</v>
      </c>
    </row>
    <row r="2" spans="1:9" ht="35" customHeight="1" x14ac:dyDescent="0.2">
      <c r="A2" s="20">
        <f>ROW()-1</f>
        <v>1</v>
      </c>
      <c r="B2" s="20" t="s">
        <v>1</v>
      </c>
      <c r="C2" s="20" t="s">
        <v>347</v>
      </c>
      <c r="D2" s="21" t="d">
        <v>1995-07-20</v>
      </c>
      <c r="E2" s="21" t="d">
        <v>1996-07-20</v>
      </c>
      <c r="F2" s="20" t="s">
        <v>2</v>
      </c>
      <c r="G2" s="20">
        <v>2220</v>
      </c>
      <c r="H2" s="20">
        <v>3550</v>
      </c>
      <c r="I2" s="20">
        <v>55.41</v>
      </c>
    </row>
    <row r="3" spans="1:9" ht="20" customHeight="1" x14ac:dyDescent="0.2">
      <c r="A3" s="12">
        <f t="shared" ref="A3:A66" si="0">ROW()-1</f>
        <v>2</v>
      </c>
      <c r="B3" s="12" t="s">
        <v>3</v>
      </c>
      <c r="C3" s="12" t="s">
        <v>348</v>
      </c>
      <c r="D3" s="13" t="d">
        <v>2003-04-04</v>
      </c>
      <c r="E3" s="13" t="d">
        <v>2004-04-04</v>
      </c>
      <c r="F3" s="12" t="s">
        <v>2</v>
      </c>
      <c r="G3" s="12">
        <v>140</v>
      </c>
      <c r="H3" s="12">
        <v>120</v>
      </c>
      <c r="I3" s="12">
        <v>-14.29</v>
      </c>
    </row>
    <row r="4" spans="1:9" ht="20" customHeight="1" x14ac:dyDescent="0.2">
      <c r="A4" s="2">
        <f t="shared" si="0"/>
        <v>3</v>
      </c>
      <c r="B4" s="2" t="s">
        <v>4</v>
      </c>
      <c r="C4" s="2" t="s">
        <v>349</v>
      </c>
      <c r="D4" s="3" t="d">
        <v>2005-01-20</v>
      </c>
      <c r="E4" s="3" t="d">
        <v>2006-01-20</v>
      </c>
      <c r="F4" s="2" t="s">
        <v>2</v>
      </c>
      <c r="G4" s="2">
        <v>280</v>
      </c>
      <c r="H4" s="2">
        <v>480</v>
      </c>
      <c r="I4" s="2">
        <v>78.569999999999993</v>
      </c>
    </row>
    <row r="5" spans="1:9" ht="20" customHeight="1" x14ac:dyDescent="0.2">
      <c r="A5" s="2">
        <f t="shared" si="0"/>
        <v>4</v>
      </c>
      <c r="B5" s="2" t="s">
        <v>5</v>
      </c>
      <c r="C5" s="2" t="s">
        <v>350</v>
      </c>
      <c r="D5" s="3" t="d">
        <v>2005-02-09</v>
      </c>
      <c r="E5" s="3" t="d">
        <v>2006-02-09</v>
      </c>
      <c r="F5" s="2" t="s">
        <v>2</v>
      </c>
      <c r="G5" s="2">
        <v>115</v>
      </c>
      <c r="H5" s="2">
        <v>100</v>
      </c>
      <c r="I5" s="2">
        <v>-8.6999999999999993</v>
      </c>
    </row>
    <row r="6" spans="1:9" ht="20" customHeight="1" x14ac:dyDescent="0.2">
      <c r="A6" s="2">
        <f t="shared" si="0"/>
        <v>5</v>
      </c>
      <c r="B6" s="2" t="s">
        <v>6</v>
      </c>
      <c r="C6" s="2" t="s">
        <v>351</v>
      </c>
      <c r="D6" s="3" t="d">
        <v>2005-06-14</v>
      </c>
      <c r="E6" s="3" t="d">
        <v>2006-06-14</v>
      </c>
      <c r="F6" s="2" t="s">
        <v>2</v>
      </c>
      <c r="G6" s="2">
        <v>120</v>
      </c>
      <c r="H6" s="2">
        <v>110</v>
      </c>
      <c r="I6" s="2">
        <v>-8.33</v>
      </c>
    </row>
    <row r="7" spans="1:9" ht="20" customHeight="1" x14ac:dyDescent="0.2">
      <c r="A7" s="2">
        <f t="shared" si="0"/>
        <v>6</v>
      </c>
      <c r="B7" s="2" t="s">
        <v>7</v>
      </c>
      <c r="C7" s="2" t="s">
        <v>352</v>
      </c>
      <c r="D7" s="3" t="d">
        <v>2006-06-13</v>
      </c>
      <c r="E7" s="3" t="d">
        <v>2007-06-13</v>
      </c>
      <c r="F7" s="2" t="s">
        <v>2</v>
      </c>
      <c r="G7" s="2">
        <v>281</v>
      </c>
      <c r="H7" s="2">
        <v>860</v>
      </c>
      <c r="I7" s="2">
        <v>206.05</v>
      </c>
    </row>
    <row r="8" spans="1:9" ht="20" customHeight="1" x14ac:dyDescent="0.2">
      <c r="A8" s="2">
        <f t="shared" si="0"/>
        <v>7</v>
      </c>
      <c r="B8" s="2" t="s">
        <v>9</v>
      </c>
      <c r="C8" s="2" t="s">
        <v>353</v>
      </c>
      <c r="D8" s="3" t="d">
        <v>2009-11-25</v>
      </c>
      <c r="E8" s="3" t="d">
        <v>2010-11-25</v>
      </c>
      <c r="F8" s="2" t="s">
        <v>2</v>
      </c>
      <c r="G8" s="2">
        <v>790</v>
      </c>
      <c r="H8" s="2">
        <v>447</v>
      </c>
      <c r="I8" s="2">
        <v>-43.42</v>
      </c>
    </row>
    <row r="9" spans="1:9" ht="20" customHeight="1" x14ac:dyDescent="0.2">
      <c r="A9" s="2">
        <f t="shared" si="0"/>
        <v>8</v>
      </c>
      <c r="B9" s="2" t="s">
        <v>10</v>
      </c>
      <c r="C9" s="2" t="s">
        <v>354</v>
      </c>
      <c r="D9" s="3" t="d">
        <v>2010-05-12</v>
      </c>
      <c r="E9" s="3" t="d">
        <v>2011-05-12</v>
      </c>
      <c r="F9" s="2" t="s">
        <v>2</v>
      </c>
      <c r="G9" s="2">
        <v>337</v>
      </c>
      <c r="H9" s="2">
        <v>205</v>
      </c>
      <c r="I9" s="2">
        <v>-39.17</v>
      </c>
    </row>
    <row r="10" spans="1:9" ht="20" customHeight="1" x14ac:dyDescent="0.2">
      <c r="A10" s="2">
        <f t="shared" si="0"/>
        <v>9</v>
      </c>
      <c r="B10" s="2" t="s">
        <v>11</v>
      </c>
      <c r="C10" s="2" t="s">
        <v>355</v>
      </c>
      <c r="D10" s="3" t="d">
        <v>2010-09-02</v>
      </c>
      <c r="E10" s="3" t="d">
        <v>2011-09-02</v>
      </c>
      <c r="F10" s="2" t="s">
        <v>2</v>
      </c>
      <c r="G10" s="2">
        <v>255</v>
      </c>
      <c r="H10" s="2">
        <v>125</v>
      </c>
      <c r="I10" s="2">
        <v>-50.98</v>
      </c>
    </row>
    <row r="11" spans="1:9" ht="20" customHeight="1" x14ac:dyDescent="0.2">
      <c r="A11" s="2">
        <f t="shared" si="0"/>
        <v>10</v>
      </c>
      <c r="B11" s="2" t="s">
        <v>27</v>
      </c>
      <c r="C11" s="2" t="s">
        <v>356</v>
      </c>
      <c r="D11" s="3" t="d">
        <v>2011-03-20</v>
      </c>
      <c r="E11" s="3" t="d">
        <v>2012-03-20</v>
      </c>
      <c r="F11" s="2" t="s">
        <v>2</v>
      </c>
      <c r="G11" s="2">
        <v>153</v>
      </c>
      <c r="H11" s="2">
        <v>117</v>
      </c>
      <c r="I11" s="2">
        <v>-30.07</v>
      </c>
    </row>
    <row r="12" spans="1:9" ht="20" customHeight="1" x14ac:dyDescent="0.2">
      <c r="A12" s="2">
        <f t="shared" si="0"/>
        <v>11</v>
      </c>
      <c r="B12" s="2" t="s">
        <v>25</v>
      </c>
      <c r="C12" s="2" t="s">
        <v>358</v>
      </c>
      <c r="D12" s="3" t="d">
        <v>2011-03-20</v>
      </c>
      <c r="E12" s="3" t="d">
        <v>2012-03-20</v>
      </c>
      <c r="F12" s="2" t="s">
        <v>2</v>
      </c>
      <c r="G12" s="2">
        <v>141</v>
      </c>
      <c r="H12" s="2">
        <v>118</v>
      </c>
      <c r="I12" s="2">
        <v>-3.55</v>
      </c>
    </row>
    <row r="13" spans="1:9" ht="20" customHeight="1" x14ac:dyDescent="0.2">
      <c r="A13" s="2">
        <f t="shared" si="0"/>
        <v>12</v>
      </c>
      <c r="B13" s="2" t="s">
        <v>23</v>
      </c>
      <c r="C13" s="2" t="s">
        <v>360</v>
      </c>
      <c r="D13" s="3" t="d">
        <v>2011-03-20</v>
      </c>
      <c r="E13" s="3" t="d">
        <v>2012-03-20</v>
      </c>
      <c r="F13" s="2" t="s">
        <v>2</v>
      </c>
      <c r="G13" s="2">
        <v>204</v>
      </c>
      <c r="H13" s="2">
        <v>108</v>
      </c>
      <c r="I13" s="2">
        <v>-40.450000000000003</v>
      </c>
    </row>
    <row r="14" spans="1:9" ht="20" customHeight="1" x14ac:dyDescent="0.2">
      <c r="A14" s="10">
        <f t="shared" si="0"/>
        <v>13</v>
      </c>
      <c r="B14" s="10" t="s">
        <v>17</v>
      </c>
      <c r="C14" s="10" t="s">
        <v>363</v>
      </c>
      <c r="D14" s="11" t="d">
        <v>2011-03-20</v>
      </c>
      <c r="E14" s="11" t="d">
        <v>2012-03-20</v>
      </c>
      <c r="F14" s="10" t="s">
        <v>2</v>
      </c>
      <c r="G14" s="10">
        <v>41</v>
      </c>
      <c r="H14" s="10">
        <v>45</v>
      </c>
      <c r="I14" s="10">
        <v>14.63</v>
      </c>
    </row>
    <row r="15" spans="1:9" ht="20" customHeight="1" x14ac:dyDescent="0.2">
      <c r="A15" s="10">
        <f>ROW()-1</f>
        <v>14</v>
      </c>
      <c r="B15" s="10" t="s">
        <v>20</v>
      </c>
      <c r="C15" s="10" t="s">
        <v>362</v>
      </c>
      <c r="D15" s="11" t="d">
        <v>2011-03-20</v>
      </c>
      <c r="E15" s="11" t="d">
        <v>2012-03-20</v>
      </c>
      <c r="F15" s="10" t="s">
        <v>2</v>
      </c>
      <c r="G15" s="10">
        <v>620</v>
      </c>
      <c r="H15" s="10">
        <v>567</v>
      </c>
      <c r="I15" s="10">
        <v>-8.5500000000000007</v>
      </c>
    </row>
    <row r="16" spans="1:9" ht="20" customHeight="1" x14ac:dyDescent="0.2">
      <c r="A16" s="10">
        <f>ROW()-1</f>
        <v>15</v>
      </c>
      <c r="B16" s="10" t="s">
        <v>21</v>
      </c>
      <c r="C16" s="10" t="s">
        <v>361</v>
      </c>
      <c r="D16" s="11" t="d">
        <v>2011-03-20</v>
      </c>
      <c r="E16" s="11" t="d">
        <v>2012-03-20</v>
      </c>
      <c r="F16" s="10" t="s">
        <v>2</v>
      </c>
      <c r="G16" s="10">
        <v>270</v>
      </c>
      <c r="H16" s="10">
        <v>170</v>
      </c>
      <c r="I16" s="10">
        <v>-31.84</v>
      </c>
    </row>
    <row r="17" spans="1:9" ht="20" customHeight="1" x14ac:dyDescent="0.2">
      <c r="A17" s="10">
        <f>ROW()-1</f>
        <v>16</v>
      </c>
      <c r="B17" s="10" t="s">
        <v>24</v>
      </c>
      <c r="C17" s="10" t="s">
        <v>359</v>
      </c>
      <c r="D17" s="11" t="d">
        <v>2011-03-20</v>
      </c>
      <c r="E17" s="11" t="d">
        <v>2012-03-20</v>
      </c>
      <c r="F17" s="10" t="s">
        <v>2</v>
      </c>
      <c r="G17" s="10">
        <v>585</v>
      </c>
      <c r="H17" s="10">
        <v>450</v>
      </c>
      <c r="I17" s="10">
        <v>-4.8099999999999996</v>
      </c>
    </row>
    <row r="18" spans="1:9" ht="20" customHeight="1" x14ac:dyDescent="0.2">
      <c r="A18" s="10">
        <f>ROW()-1</f>
        <v>17</v>
      </c>
      <c r="B18" s="10" t="s">
        <v>18</v>
      </c>
      <c r="C18" s="10" t="s">
        <v>364</v>
      </c>
      <c r="D18" s="11" t="d">
        <v>2011-03-20</v>
      </c>
      <c r="E18" s="11" t="d">
        <v>2012-03-20</v>
      </c>
      <c r="F18" s="10" t="s">
        <v>2</v>
      </c>
      <c r="G18" s="10">
        <v>1170</v>
      </c>
      <c r="H18" s="10">
        <v>874</v>
      </c>
      <c r="I18" s="10">
        <v>-22.74</v>
      </c>
    </row>
    <row r="19" spans="1:9" ht="20" customHeight="1" x14ac:dyDescent="0.2">
      <c r="A19" s="10">
        <f>ROW()-1</f>
        <v>18</v>
      </c>
      <c r="B19" s="10" t="s">
        <v>16</v>
      </c>
      <c r="C19" s="10" t="s">
        <v>365</v>
      </c>
      <c r="D19" s="11" t="d">
        <v>2011-03-20</v>
      </c>
      <c r="E19" s="11" t="d">
        <v>2012-03-20</v>
      </c>
      <c r="F19" s="10" t="s">
        <v>2</v>
      </c>
      <c r="G19" s="10">
        <v>446</v>
      </c>
      <c r="H19" s="10">
        <v>400</v>
      </c>
      <c r="I19" s="10">
        <v>-0.22</v>
      </c>
    </row>
    <row r="20" spans="1:9" ht="20" customHeight="1" x14ac:dyDescent="0.2">
      <c r="A20" s="10">
        <f>ROW()-1</f>
        <v>19</v>
      </c>
      <c r="B20" s="10" t="s">
        <v>15</v>
      </c>
      <c r="C20" s="10" t="s">
        <v>366</v>
      </c>
      <c r="D20" s="11" t="d">
        <v>2011-03-20</v>
      </c>
      <c r="E20" s="11" t="d">
        <v>2012-03-20</v>
      </c>
      <c r="F20" s="10" t="s">
        <v>2</v>
      </c>
      <c r="G20" s="10">
        <v>248</v>
      </c>
      <c r="H20" s="10">
        <v>170</v>
      </c>
      <c r="I20" s="10">
        <v>-26.36</v>
      </c>
    </row>
    <row r="21" spans="1:9" ht="20" customHeight="1" x14ac:dyDescent="0.2">
      <c r="A21" s="10">
        <f>ROW()-1</f>
        <v>20</v>
      </c>
      <c r="B21" s="10" t="s">
        <v>14</v>
      </c>
      <c r="C21" s="10" t="s">
        <v>367</v>
      </c>
      <c r="D21" s="11" t="d">
        <v>2011-03-20</v>
      </c>
      <c r="E21" s="11" t="d">
        <v>2012-03-20</v>
      </c>
      <c r="F21" s="10" t="s">
        <v>2</v>
      </c>
      <c r="G21" s="10">
        <v>560</v>
      </c>
      <c r="H21" s="10">
        <v>427</v>
      </c>
      <c r="I21" s="10">
        <v>-13.33</v>
      </c>
    </row>
    <row r="22" spans="1:9" ht="20" customHeight="1" x14ac:dyDescent="0.2">
      <c r="A22" s="10">
        <f>ROW()-1</f>
        <v>21</v>
      </c>
      <c r="B22" s="10" t="s">
        <v>13</v>
      </c>
      <c r="C22" s="10" t="s">
        <v>368</v>
      </c>
      <c r="D22" s="11" t="d">
        <v>2011-03-20</v>
      </c>
      <c r="E22" s="11" t="d">
        <v>2012-03-20</v>
      </c>
      <c r="F22" s="10" t="s">
        <v>2</v>
      </c>
      <c r="G22" s="10">
        <v>263</v>
      </c>
      <c r="H22" s="10">
        <v>200</v>
      </c>
      <c r="I22" s="10">
        <v>-16.809999999999999</v>
      </c>
    </row>
    <row r="23" spans="1:9" ht="20" customHeight="1" x14ac:dyDescent="0.2">
      <c r="A23" s="10">
        <f>ROW()-1</f>
        <v>22</v>
      </c>
      <c r="B23" s="10" t="s">
        <v>12</v>
      </c>
      <c r="C23" s="10" t="s">
        <v>369</v>
      </c>
      <c r="D23" s="11" t="d">
        <v>2011-03-20</v>
      </c>
      <c r="E23" s="11" t="d">
        <v>2012-03-20</v>
      </c>
      <c r="F23" s="10" t="s">
        <v>2</v>
      </c>
      <c r="G23" s="10">
        <v>1770</v>
      </c>
      <c r="H23" s="10">
        <v>1360</v>
      </c>
      <c r="I23" s="10">
        <v>-20.34</v>
      </c>
    </row>
    <row r="24" spans="1:9" ht="20" customHeight="1" x14ac:dyDescent="0.2">
      <c r="A24" s="10">
        <f>ROW()-1</f>
        <v>23</v>
      </c>
      <c r="B24" s="10" t="s">
        <v>19</v>
      </c>
      <c r="C24" s="10" t="s">
        <v>370</v>
      </c>
      <c r="D24" s="11" t="d">
        <v>2011-03-20</v>
      </c>
      <c r="E24" s="11" t="d">
        <v>2012-03-20</v>
      </c>
      <c r="F24" s="10" t="s">
        <v>2</v>
      </c>
      <c r="G24" s="10">
        <v>250</v>
      </c>
      <c r="H24" s="10">
        <v>154</v>
      </c>
      <c r="I24" s="10">
        <v>-34.799999999999997</v>
      </c>
    </row>
    <row r="25" spans="1:9" ht="20" customHeight="1" x14ac:dyDescent="0.2">
      <c r="A25" s="2">
        <f>ROW()-1</f>
        <v>24</v>
      </c>
      <c r="B25" s="2" t="s">
        <v>26</v>
      </c>
      <c r="C25" s="2" t="s">
        <v>357</v>
      </c>
      <c r="D25" s="3" t="d">
        <v>2011-03-20</v>
      </c>
      <c r="E25" s="3" t="d">
        <v>2012-03-20</v>
      </c>
      <c r="F25" s="2" t="s">
        <v>2</v>
      </c>
      <c r="G25" s="2">
        <v>984</v>
      </c>
      <c r="H25" s="2">
        <v>695</v>
      </c>
      <c r="I25" s="2">
        <v>-17.23</v>
      </c>
    </row>
    <row r="26" spans="1:9" ht="20" customHeight="1" x14ac:dyDescent="0.2">
      <c r="A26" s="12">
        <f t="shared" si="0"/>
        <v>25</v>
      </c>
      <c r="B26" s="12" t="s">
        <v>28</v>
      </c>
      <c r="C26" s="12" t="s">
        <v>371</v>
      </c>
      <c r="D26" s="13" t="d">
        <v>2011-03-24</v>
      </c>
      <c r="E26" s="13" t="d">
        <v>2012-03-24</v>
      </c>
      <c r="F26" s="12" t="s">
        <v>2</v>
      </c>
      <c r="G26" s="12">
        <v>195</v>
      </c>
      <c r="H26" s="12">
        <v>134</v>
      </c>
      <c r="I26" s="12">
        <v>-16.82</v>
      </c>
    </row>
    <row r="27" spans="1:9" ht="20" customHeight="1" x14ac:dyDescent="0.2">
      <c r="A27" s="10">
        <f t="shared" si="0"/>
        <v>26</v>
      </c>
      <c r="B27" s="10" t="s">
        <v>30</v>
      </c>
      <c r="C27" s="10" t="s">
        <v>373</v>
      </c>
      <c r="D27" s="11" t="d">
        <v>2011-03-24</v>
      </c>
      <c r="E27" s="11" t="d">
        <v>2012-03-24</v>
      </c>
      <c r="F27" s="10" t="s">
        <v>2</v>
      </c>
      <c r="G27" s="10">
        <v>185</v>
      </c>
      <c r="H27" s="10">
        <v>198</v>
      </c>
      <c r="I27" s="10">
        <v>24.73</v>
      </c>
    </row>
    <row r="28" spans="1:9" ht="20" customHeight="1" x14ac:dyDescent="0.2">
      <c r="A28" s="2">
        <f>ROW()-1</f>
        <v>27</v>
      </c>
      <c r="B28" s="2" t="s">
        <v>29</v>
      </c>
      <c r="C28" s="2" t="s">
        <v>372</v>
      </c>
      <c r="D28" s="3" t="d">
        <v>2011-03-24</v>
      </c>
      <c r="E28" s="3" t="d">
        <v>2012-03-24</v>
      </c>
      <c r="F28" s="2" t="s">
        <v>2</v>
      </c>
      <c r="G28" s="2">
        <v>238</v>
      </c>
      <c r="H28" s="2">
        <v>197</v>
      </c>
      <c r="I28" s="2">
        <v>-18.489999999999998</v>
      </c>
    </row>
    <row r="29" spans="1:9" ht="20" customHeight="1" x14ac:dyDescent="0.2">
      <c r="A29" s="12">
        <f t="shared" si="0"/>
        <v>28</v>
      </c>
      <c r="B29" s="12" t="s">
        <v>35</v>
      </c>
      <c r="C29" s="12" t="s">
        <v>375</v>
      </c>
      <c r="D29" s="13" t="d">
        <v>2011-03-25</v>
      </c>
      <c r="E29" s="13" t="d">
        <v>2012-03-25</v>
      </c>
      <c r="F29" s="12" t="s">
        <v>2</v>
      </c>
      <c r="G29" s="12">
        <v>118</v>
      </c>
      <c r="H29" s="12">
        <v>100</v>
      </c>
      <c r="I29" s="12">
        <v>0</v>
      </c>
    </row>
    <row r="30" spans="1:9" ht="20" customHeight="1" x14ac:dyDescent="0.2">
      <c r="A30" s="2">
        <f t="shared" si="0"/>
        <v>29</v>
      </c>
      <c r="B30" s="2" t="s">
        <v>31</v>
      </c>
      <c r="C30" s="2" t="s">
        <v>376</v>
      </c>
      <c r="D30" s="3" t="d">
        <v>2011-03-25</v>
      </c>
      <c r="E30" s="3" t="d">
        <v>2012-03-25</v>
      </c>
      <c r="F30" s="2" t="s">
        <v>2</v>
      </c>
      <c r="G30" s="2">
        <v>301</v>
      </c>
      <c r="H30" s="2">
        <v>249</v>
      </c>
      <c r="I30" s="2">
        <v>-18.600000000000001</v>
      </c>
    </row>
    <row r="31" spans="1:9" ht="20" customHeight="1" x14ac:dyDescent="0.2">
      <c r="A31" s="2">
        <f t="shared" si="0"/>
        <v>30</v>
      </c>
      <c r="B31" s="2" t="s">
        <v>33</v>
      </c>
      <c r="C31" s="2" t="s">
        <v>377</v>
      </c>
      <c r="D31" s="3" t="d">
        <v>2011-03-25</v>
      </c>
      <c r="E31" s="3" t="d">
        <v>2012-03-25</v>
      </c>
      <c r="F31" s="2" t="s">
        <v>2</v>
      </c>
      <c r="G31" s="2">
        <v>307</v>
      </c>
      <c r="H31" s="2">
        <v>314</v>
      </c>
      <c r="I31" s="2">
        <v>2.2799999999999998</v>
      </c>
    </row>
    <row r="32" spans="1:9" ht="20" customHeight="1" x14ac:dyDescent="0.2">
      <c r="A32" s="10">
        <f t="shared" si="0"/>
        <v>31</v>
      </c>
      <c r="B32" s="10" t="s">
        <v>34</v>
      </c>
      <c r="C32" s="10" t="s">
        <v>378</v>
      </c>
      <c r="D32" s="11" t="d">
        <v>2011-03-25</v>
      </c>
      <c r="E32" s="11" t="d">
        <v>2012-03-25</v>
      </c>
      <c r="F32" s="10" t="s">
        <v>2</v>
      </c>
      <c r="G32" s="10">
        <v>745</v>
      </c>
      <c r="H32" s="10">
        <v>1018</v>
      </c>
      <c r="I32" s="10">
        <v>41.61</v>
      </c>
    </row>
    <row r="33" spans="1:9" ht="20" customHeight="1" x14ac:dyDescent="0.2">
      <c r="A33" s="2">
        <f>ROW()-1</f>
        <v>32</v>
      </c>
      <c r="B33" s="2" t="s">
        <v>36</v>
      </c>
      <c r="C33" s="2" t="s">
        <v>374</v>
      </c>
      <c r="D33" s="3" t="d">
        <v>2011-03-25</v>
      </c>
      <c r="E33" s="3" t="d">
        <v>2012-03-25</v>
      </c>
      <c r="F33" s="2" t="s">
        <v>2</v>
      </c>
      <c r="G33" s="2">
        <v>725</v>
      </c>
      <c r="H33" s="2">
        <v>630</v>
      </c>
      <c r="I33" s="2">
        <v>-13.1</v>
      </c>
    </row>
    <row r="34" spans="1:9" ht="20" customHeight="1" x14ac:dyDescent="0.2">
      <c r="A34" s="12">
        <f t="shared" si="0"/>
        <v>33</v>
      </c>
      <c r="B34" s="12" t="s">
        <v>37</v>
      </c>
      <c r="C34" s="12" t="s">
        <v>379</v>
      </c>
      <c r="D34" s="13" t="d">
        <v>2011-03-28</v>
      </c>
      <c r="E34" s="13" t="d">
        <v>2012-03-28</v>
      </c>
      <c r="F34" s="12" t="s">
        <v>2</v>
      </c>
      <c r="G34" s="12">
        <v>100</v>
      </c>
      <c r="H34" s="12">
        <v>75</v>
      </c>
      <c r="I34" s="12">
        <v>-25</v>
      </c>
    </row>
    <row r="35" spans="1:9" ht="20" customHeight="1" x14ac:dyDescent="0.2">
      <c r="A35" s="10">
        <f t="shared" si="0"/>
        <v>34</v>
      </c>
      <c r="B35" s="10" t="s">
        <v>38</v>
      </c>
      <c r="C35" s="10" t="s">
        <v>380</v>
      </c>
      <c r="D35" s="11" t="d">
        <v>2011-03-28</v>
      </c>
      <c r="E35" s="11" t="d">
        <v>2012-03-28</v>
      </c>
      <c r="F35" s="10" t="s">
        <v>2</v>
      </c>
      <c r="G35" s="10">
        <v>85</v>
      </c>
      <c r="H35" s="10">
        <v>78</v>
      </c>
      <c r="I35" s="10">
        <v>-8.24</v>
      </c>
    </row>
    <row r="36" spans="1:9" ht="20" customHeight="1" x14ac:dyDescent="0.2">
      <c r="A36" s="2">
        <f>ROW()-1</f>
        <v>35</v>
      </c>
      <c r="B36" s="2" t="s">
        <v>39</v>
      </c>
      <c r="C36" s="2" t="s">
        <v>381</v>
      </c>
      <c r="D36" s="3" t="d">
        <v>2011-03-28</v>
      </c>
      <c r="E36" s="3" t="d">
        <v>2012-03-28</v>
      </c>
      <c r="F36" s="2" t="s">
        <v>2</v>
      </c>
      <c r="G36" s="2">
        <v>5880</v>
      </c>
      <c r="H36" s="2">
        <v>6032</v>
      </c>
      <c r="I36" s="2">
        <v>2.59</v>
      </c>
    </row>
    <row r="37" spans="1:9" ht="20" customHeight="1" x14ac:dyDescent="0.2">
      <c r="A37" s="12">
        <f t="shared" si="0"/>
        <v>36</v>
      </c>
      <c r="B37" s="12" t="s">
        <v>43</v>
      </c>
      <c r="C37" s="12" t="s">
        <v>382</v>
      </c>
      <c r="D37" s="13" t="d">
        <v>2011-04-06</v>
      </c>
      <c r="E37" s="13" t="d">
        <v>2012-04-06</v>
      </c>
      <c r="F37" s="12" t="s">
        <v>2</v>
      </c>
      <c r="G37" s="12">
        <v>225</v>
      </c>
      <c r="H37" s="12">
        <v>178</v>
      </c>
      <c r="I37" s="12">
        <v>-12.93</v>
      </c>
    </row>
    <row r="38" spans="1:9" ht="20" customHeight="1" x14ac:dyDescent="0.2">
      <c r="A38" s="2">
        <f t="shared" si="0"/>
        <v>37</v>
      </c>
      <c r="B38" s="2" t="s">
        <v>44</v>
      </c>
      <c r="C38" s="2" t="s">
        <v>383</v>
      </c>
      <c r="D38" s="3" t="d">
        <v>2011-04-06</v>
      </c>
      <c r="E38" s="3" t="d">
        <v>2012-04-06</v>
      </c>
      <c r="F38" s="2" t="s">
        <v>2</v>
      </c>
      <c r="G38" s="2">
        <v>587</v>
      </c>
      <c r="H38" s="2">
        <v>593</v>
      </c>
      <c r="I38" s="2">
        <v>2.9</v>
      </c>
    </row>
    <row r="39" spans="1:9" ht="20" customHeight="1" x14ac:dyDescent="0.2">
      <c r="A39" s="2">
        <f t="shared" si="0"/>
        <v>38</v>
      </c>
      <c r="B39" s="2" t="s">
        <v>46</v>
      </c>
      <c r="C39" s="2" t="s">
        <v>378</v>
      </c>
      <c r="D39" s="3" t="d">
        <v>2011-04-19</v>
      </c>
      <c r="E39" s="3" t="d">
        <v>2012-04-19</v>
      </c>
      <c r="F39" s="2" t="s">
        <v>2</v>
      </c>
      <c r="G39" s="2">
        <v>713</v>
      </c>
      <c r="H39" s="2">
        <v>1680</v>
      </c>
      <c r="I39" s="2">
        <v>144.74</v>
      </c>
    </row>
    <row r="40" spans="1:9" ht="20" customHeight="1" x14ac:dyDescent="0.2">
      <c r="A40" s="2">
        <f t="shared" si="0"/>
        <v>39</v>
      </c>
      <c r="B40" s="2" t="s">
        <v>47</v>
      </c>
      <c r="C40" s="2" t="s">
        <v>384</v>
      </c>
      <c r="D40" s="3" t="d">
        <v>2011-04-27</v>
      </c>
      <c r="E40" s="3" t="d">
        <v>2012-04-27</v>
      </c>
      <c r="F40" s="2" t="s">
        <v>2</v>
      </c>
      <c r="G40" s="2">
        <v>360</v>
      </c>
      <c r="H40" s="2">
        <v>209</v>
      </c>
      <c r="I40" s="2">
        <v>-47.22</v>
      </c>
    </row>
    <row r="41" spans="1:9" ht="20" customHeight="1" x14ac:dyDescent="0.2">
      <c r="A41" s="2">
        <f t="shared" si="0"/>
        <v>40</v>
      </c>
      <c r="B41" s="2" t="s">
        <v>54</v>
      </c>
      <c r="C41" s="2" t="s">
        <v>385</v>
      </c>
      <c r="D41" s="3" t="d">
        <v>2011-10-24</v>
      </c>
      <c r="E41" s="3" t="d">
        <v>2012-10-24</v>
      </c>
      <c r="F41" s="2" t="s">
        <v>2</v>
      </c>
      <c r="G41" s="2">
        <v>100</v>
      </c>
      <c r="H41" s="2">
        <v>98</v>
      </c>
      <c r="I41" s="2">
        <v>0</v>
      </c>
    </row>
    <row r="42" spans="1:9" ht="20" customHeight="1" x14ac:dyDescent="0.2">
      <c r="A42" s="2">
        <f t="shared" si="0"/>
        <v>41</v>
      </c>
      <c r="B42" s="2" t="s">
        <v>55</v>
      </c>
      <c r="C42" s="2" t="s">
        <v>386</v>
      </c>
      <c r="D42" s="3" t="d">
        <v>2011-11-03</v>
      </c>
      <c r="E42" s="3" t="d">
        <v>2012-11-03</v>
      </c>
      <c r="F42" s="2" t="s">
        <v>2</v>
      </c>
      <c r="G42" s="2">
        <v>312</v>
      </c>
      <c r="H42" s="2">
        <v>256</v>
      </c>
      <c r="I42" s="2">
        <v>1.08</v>
      </c>
    </row>
    <row r="43" spans="1:9" ht="20" customHeight="1" x14ac:dyDescent="0.2">
      <c r="A43" s="2">
        <f t="shared" si="0"/>
        <v>42</v>
      </c>
      <c r="B43" s="2" t="s">
        <v>57</v>
      </c>
      <c r="C43" s="2" t="s">
        <v>387</v>
      </c>
      <c r="D43" s="3" t="d">
        <v>2012-02-01</v>
      </c>
      <c r="E43" s="3" t="d">
        <v>2013-02-01</v>
      </c>
      <c r="F43" s="2" t="s">
        <v>2</v>
      </c>
      <c r="G43" s="2">
        <v>256</v>
      </c>
      <c r="H43" s="2">
        <v>209</v>
      </c>
      <c r="I43" s="2">
        <v>23.09</v>
      </c>
    </row>
    <row r="44" spans="1:9" ht="20" customHeight="1" x14ac:dyDescent="0.2">
      <c r="A44" s="2">
        <f t="shared" si="0"/>
        <v>43</v>
      </c>
      <c r="B44" s="2" t="s">
        <v>59</v>
      </c>
      <c r="C44" s="2" t="s">
        <v>388</v>
      </c>
      <c r="D44" s="3" t="d">
        <v>2012-02-27</v>
      </c>
      <c r="E44" s="3" t="d">
        <v>2013-02-27</v>
      </c>
      <c r="F44" s="2" t="s">
        <v>2</v>
      </c>
      <c r="G44" s="2">
        <v>254</v>
      </c>
      <c r="H44" s="2">
        <v>283</v>
      </c>
      <c r="I44" s="2">
        <v>13.58</v>
      </c>
    </row>
    <row r="45" spans="1:9" ht="20" customHeight="1" x14ac:dyDescent="0.2">
      <c r="A45" s="10">
        <f t="shared" si="0"/>
        <v>44</v>
      </c>
      <c r="B45" s="10" t="s">
        <v>60</v>
      </c>
      <c r="C45" s="10" t="s">
        <v>389</v>
      </c>
      <c r="D45" s="11" t="d">
        <v>2012-06-10</v>
      </c>
      <c r="E45" s="11" t="d">
        <v>2013-06-10</v>
      </c>
      <c r="F45" s="10" t="s">
        <v>2</v>
      </c>
      <c r="G45" s="10">
        <v>141</v>
      </c>
      <c r="H45" s="10">
        <v>145</v>
      </c>
      <c r="I45" s="10">
        <v>14.74</v>
      </c>
    </row>
    <row r="46" spans="1:9" ht="20" customHeight="1" x14ac:dyDescent="0.2">
      <c r="A46" s="2">
        <f>ROW()-1</f>
        <v>45</v>
      </c>
      <c r="B46" s="2" t="s">
        <v>61</v>
      </c>
      <c r="C46" s="2" t="s">
        <v>390</v>
      </c>
      <c r="D46" s="3" t="d">
        <v>2012-09-09</v>
      </c>
      <c r="E46" s="3" t="d">
        <v>2013-09-09</v>
      </c>
      <c r="F46" s="2" t="s">
        <v>2</v>
      </c>
      <c r="G46" s="2">
        <v>175</v>
      </c>
      <c r="H46" s="2">
        <v>430</v>
      </c>
      <c r="I46" s="2">
        <v>158.80000000000001</v>
      </c>
    </row>
    <row r="47" spans="1:9" ht="20" customHeight="1" x14ac:dyDescent="0.2">
      <c r="A47" s="12">
        <f t="shared" si="0"/>
        <v>46</v>
      </c>
      <c r="B47" s="12" t="s">
        <v>63</v>
      </c>
      <c r="C47" s="12" t="s">
        <v>391</v>
      </c>
      <c r="D47" s="13" t="d">
        <v>2012-12-17</v>
      </c>
      <c r="E47" s="13" t="d">
        <v>2013-12-17</v>
      </c>
      <c r="F47" s="12" t="s">
        <v>2</v>
      </c>
      <c r="G47" s="12">
        <v>395</v>
      </c>
      <c r="H47" s="12">
        <v>355</v>
      </c>
      <c r="I47" s="12">
        <v>783.85</v>
      </c>
    </row>
    <row r="48" spans="1:9" ht="20" customHeight="1" x14ac:dyDescent="0.2">
      <c r="A48" s="2">
        <f t="shared" si="0"/>
        <v>47</v>
      </c>
      <c r="B48" s="2" t="s">
        <v>64</v>
      </c>
      <c r="C48" s="2" t="s">
        <v>392</v>
      </c>
      <c r="D48" s="3" t="d">
        <v>2013-06-19</v>
      </c>
      <c r="E48" s="3" t="d">
        <v>2014-06-19</v>
      </c>
      <c r="F48" s="2" t="s">
        <v>2</v>
      </c>
      <c r="G48" s="2">
        <v>153</v>
      </c>
      <c r="H48" s="2">
        <v>1203</v>
      </c>
      <c r="I48" s="2">
        <v>698.69</v>
      </c>
    </row>
    <row r="49" spans="1:9" ht="20" customHeight="1" x14ac:dyDescent="0.2">
      <c r="A49" s="2">
        <f t="shared" si="0"/>
        <v>48</v>
      </c>
      <c r="B49" s="2" t="s">
        <v>65</v>
      </c>
      <c r="C49" s="2" t="s">
        <v>393</v>
      </c>
      <c r="D49" s="3" t="d">
        <v>2013-07-14</v>
      </c>
      <c r="E49" s="3" t="d">
        <v>2014-07-14</v>
      </c>
      <c r="F49" s="2" t="s">
        <v>2</v>
      </c>
      <c r="G49" s="2">
        <v>504</v>
      </c>
      <c r="H49" s="2">
        <v>980</v>
      </c>
      <c r="I49" s="2">
        <v>98.41</v>
      </c>
    </row>
    <row r="50" spans="1:9" ht="20" customHeight="1" x14ac:dyDescent="0.2">
      <c r="A50" s="2">
        <f t="shared" si="0"/>
        <v>49</v>
      </c>
      <c r="B50" s="2" t="s">
        <v>66</v>
      </c>
      <c r="C50" s="2" t="s">
        <v>394</v>
      </c>
      <c r="D50" s="3" t="d">
        <v>2013-07-17</v>
      </c>
      <c r="E50" s="3" t="d">
        <v>2014-07-17</v>
      </c>
      <c r="F50" s="2" t="s">
        <v>2</v>
      </c>
      <c r="G50" s="2">
        <v>275</v>
      </c>
      <c r="H50" s="2">
        <v>862</v>
      </c>
      <c r="I50" s="2">
        <v>248.82</v>
      </c>
    </row>
    <row r="51" spans="1:9" ht="20" customHeight="1" x14ac:dyDescent="0.2">
      <c r="A51" s="2">
        <f t="shared" si="0"/>
        <v>50</v>
      </c>
      <c r="B51" s="2" t="s">
        <v>69</v>
      </c>
      <c r="C51" s="2" t="s">
        <v>395</v>
      </c>
      <c r="D51" s="3" t="d">
        <v>2013-10-08</v>
      </c>
      <c r="E51" s="3" t="d">
        <v>2014-10-08</v>
      </c>
      <c r="F51" s="2" t="s">
        <v>2</v>
      </c>
      <c r="G51" s="2">
        <v>605</v>
      </c>
      <c r="H51" s="2">
        <v>1405</v>
      </c>
      <c r="I51" s="2">
        <v>168.94</v>
      </c>
    </row>
    <row r="52" spans="1:9" ht="20" customHeight="1" x14ac:dyDescent="0.2">
      <c r="A52" s="2">
        <f t="shared" si="0"/>
        <v>51</v>
      </c>
      <c r="B52" s="2" t="s">
        <v>70</v>
      </c>
      <c r="C52" s="2" t="s">
        <v>396</v>
      </c>
      <c r="D52" s="3" t="d">
        <v>2014-01-22</v>
      </c>
      <c r="E52" s="3" t="d">
        <v>2015-01-22</v>
      </c>
      <c r="F52" s="2" t="s">
        <v>2</v>
      </c>
      <c r="G52" s="2">
        <v>324</v>
      </c>
      <c r="H52" s="2">
        <v>783</v>
      </c>
      <c r="I52" s="2">
        <v>141.66999999999999</v>
      </c>
    </row>
    <row r="53" spans="1:9" ht="20" customHeight="1" x14ac:dyDescent="0.2">
      <c r="A53" s="2">
        <f t="shared" si="0"/>
        <v>52</v>
      </c>
      <c r="B53" s="2" t="s">
        <v>71</v>
      </c>
      <c r="C53" s="2" t="s">
        <v>397</v>
      </c>
      <c r="D53" s="3" t="d">
        <v>2014-02-06</v>
      </c>
      <c r="E53" s="3" t="d">
        <v>2015-02-06</v>
      </c>
      <c r="F53" s="2" t="s">
        <v>2</v>
      </c>
      <c r="G53" s="2">
        <v>399</v>
      </c>
      <c r="H53" s="2">
        <v>1000</v>
      </c>
      <c r="I53" s="2">
        <v>151.88</v>
      </c>
    </row>
    <row r="54" spans="1:9" ht="20" customHeight="1" x14ac:dyDescent="0.2">
      <c r="A54" s="2">
        <f t="shared" si="0"/>
        <v>53</v>
      </c>
      <c r="B54" s="2" t="s">
        <v>72</v>
      </c>
      <c r="C54" s="2" t="s">
        <v>398</v>
      </c>
      <c r="D54" s="3" t="d">
        <v>2014-06-26</v>
      </c>
      <c r="E54" s="3" t="d">
        <v>2015-06-26</v>
      </c>
      <c r="F54" s="2" t="s">
        <v>2</v>
      </c>
      <c r="G54" s="2">
        <v>376</v>
      </c>
      <c r="H54" s="2">
        <v>920</v>
      </c>
      <c r="I54" s="2">
        <v>189.75</v>
      </c>
    </row>
    <row r="55" spans="1:9" ht="20" customHeight="1" x14ac:dyDescent="0.2">
      <c r="A55" s="2">
        <f t="shared" si="0"/>
        <v>54</v>
      </c>
      <c r="B55" s="2" t="s">
        <v>74</v>
      </c>
      <c r="C55" s="2" t="s">
        <v>399</v>
      </c>
      <c r="D55" s="3" t="d">
        <v>2014-10-14</v>
      </c>
      <c r="E55" s="3" t="d">
        <v>2015-10-14</v>
      </c>
      <c r="F55" s="2" t="s">
        <v>2</v>
      </c>
      <c r="G55" s="2">
        <v>307</v>
      </c>
      <c r="H55" s="2">
        <v>944</v>
      </c>
      <c r="I55" s="2">
        <v>207.49</v>
      </c>
    </row>
    <row r="56" spans="1:9" ht="20" customHeight="1" x14ac:dyDescent="0.2">
      <c r="A56" s="2">
        <f t="shared" si="0"/>
        <v>55</v>
      </c>
      <c r="B56" s="2" t="s">
        <v>75</v>
      </c>
      <c r="C56" s="2" t="s">
        <v>400</v>
      </c>
      <c r="D56" s="3" t="d">
        <v>2015-01-04</v>
      </c>
      <c r="E56" s="3" t="d">
        <v>2016-01-04</v>
      </c>
      <c r="F56" s="2" t="s">
        <v>2</v>
      </c>
      <c r="G56" s="2">
        <v>227</v>
      </c>
      <c r="H56" s="2">
        <v>438</v>
      </c>
      <c r="I56" s="2">
        <v>82.82</v>
      </c>
    </row>
    <row r="57" spans="1:9" ht="20" customHeight="1" x14ac:dyDescent="0.2">
      <c r="A57" s="2">
        <f t="shared" si="0"/>
        <v>56</v>
      </c>
      <c r="B57" s="2" t="s">
        <v>76</v>
      </c>
      <c r="C57" s="2" t="s">
        <v>401</v>
      </c>
      <c r="D57" s="3" t="d">
        <v>2015-06-04</v>
      </c>
      <c r="E57" s="3" t="d">
        <v>2016-06-04</v>
      </c>
      <c r="F57" s="2" t="s">
        <v>2</v>
      </c>
      <c r="G57" s="2">
        <v>373</v>
      </c>
      <c r="H57" s="2">
        <v>1127</v>
      </c>
      <c r="I57" s="2">
        <v>257.32</v>
      </c>
    </row>
    <row r="58" spans="1:9" ht="20" customHeight="1" x14ac:dyDescent="0.2">
      <c r="A58" s="2">
        <f t="shared" si="0"/>
        <v>57</v>
      </c>
      <c r="B58" s="2" t="s">
        <v>77</v>
      </c>
      <c r="C58" s="2" t="s">
        <v>402</v>
      </c>
      <c r="D58" s="3" t="d">
        <v>2015-06-22</v>
      </c>
      <c r="E58" s="3" t="d">
        <v>2016-06-22</v>
      </c>
      <c r="F58" s="2" t="s">
        <v>2</v>
      </c>
      <c r="G58" s="2">
        <v>5202</v>
      </c>
      <c r="H58" s="2">
        <v>8132</v>
      </c>
      <c r="I58" s="2">
        <v>48.89</v>
      </c>
    </row>
    <row r="59" spans="1:9" ht="20" customHeight="1" x14ac:dyDescent="0.2">
      <c r="A59" s="2">
        <f t="shared" si="0"/>
        <v>58</v>
      </c>
      <c r="B59" s="2" t="s">
        <v>79</v>
      </c>
      <c r="C59" s="2" t="s">
        <v>403</v>
      </c>
      <c r="D59" s="3" t="d">
        <v>2015-10-15</v>
      </c>
      <c r="E59" s="3" t="d">
        <v>2016-10-15</v>
      </c>
      <c r="F59" s="2" t="s">
        <v>2</v>
      </c>
      <c r="G59" s="2">
        <v>304</v>
      </c>
      <c r="H59" s="2">
        <v>400</v>
      </c>
      <c r="I59" s="2">
        <v>32.24</v>
      </c>
    </row>
    <row r="60" spans="1:9" ht="20" customHeight="1" x14ac:dyDescent="0.2">
      <c r="A60" s="2">
        <f t="shared" si="0"/>
        <v>59</v>
      </c>
      <c r="B60" s="2" t="s">
        <v>80</v>
      </c>
      <c r="C60" s="2" t="s">
        <v>404</v>
      </c>
      <c r="D60" s="3" t="d">
        <v>2015-11-10</v>
      </c>
      <c r="E60" s="3" t="d">
        <v>2016-11-10</v>
      </c>
      <c r="F60" s="2" t="s">
        <v>2</v>
      </c>
      <c r="G60" s="2">
        <v>343</v>
      </c>
      <c r="H60" s="2">
        <v>1210</v>
      </c>
      <c r="I60" s="2">
        <v>252.77</v>
      </c>
    </row>
    <row r="61" spans="1:9" ht="20" customHeight="1" x14ac:dyDescent="0.2">
      <c r="A61" s="2">
        <f t="shared" si="0"/>
        <v>60</v>
      </c>
      <c r="B61" s="2" t="s">
        <v>81</v>
      </c>
      <c r="C61" s="2" t="s">
        <v>405</v>
      </c>
      <c r="D61" s="3" t="d">
        <v>2015-11-18</v>
      </c>
      <c r="E61" s="3" t="d">
        <v>2016-11-18</v>
      </c>
      <c r="F61" s="2" t="s">
        <v>2</v>
      </c>
      <c r="G61" s="2">
        <v>307</v>
      </c>
      <c r="H61" s="2">
        <v>540</v>
      </c>
      <c r="I61" s="2">
        <v>87.77</v>
      </c>
    </row>
    <row r="62" spans="1:9" ht="20" customHeight="1" x14ac:dyDescent="0.2">
      <c r="A62" s="2">
        <f t="shared" si="0"/>
        <v>61</v>
      </c>
      <c r="B62" s="2" t="s">
        <v>82</v>
      </c>
      <c r="C62" s="2" t="s">
        <v>406</v>
      </c>
      <c r="D62" s="3" t="d">
        <v>2015-11-25</v>
      </c>
      <c r="E62" s="3" t="d">
        <v>2016-11-25</v>
      </c>
      <c r="F62" s="2" t="s">
        <v>2</v>
      </c>
      <c r="G62" s="2">
        <v>120</v>
      </c>
      <c r="H62" s="2">
        <v>579</v>
      </c>
      <c r="I62" s="2">
        <v>395</v>
      </c>
    </row>
    <row r="63" spans="1:9" ht="20" customHeight="1" x14ac:dyDescent="0.2">
      <c r="A63" s="2">
        <f t="shared" si="0"/>
        <v>62</v>
      </c>
      <c r="B63" s="2" t="s">
        <v>83</v>
      </c>
      <c r="C63" s="2" t="s">
        <v>407</v>
      </c>
      <c r="D63" s="3" t="d">
        <v>2015-11-26</v>
      </c>
      <c r="E63" s="3" t="d">
        <v>2016-11-26</v>
      </c>
      <c r="F63" s="2" t="s">
        <v>2</v>
      </c>
      <c r="G63" s="2">
        <v>318</v>
      </c>
      <c r="H63" s="2">
        <v>690</v>
      </c>
      <c r="I63" s="2">
        <v>121.7</v>
      </c>
    </row>
    <row r="64" spans="1:9" ht="20" customHeight="1" x14ac:dyDescent="0.2">
      <c r="A64" s="2">
        <f t="shared" si="0"/>
        <v>63</v>
      </c>
      <c r="B64" s="2" t="s">
        <v>84</v>
      </c>
      <c r="C64" s="2" t="s">
        <v>408</v>
      </c>
      <c r="D64" s="3" t="d">
        <v>2015-12-10</v>
      </c>
      <c r="E64" s="3" t="d">
        <v>2016-12-10</v>
      </c>
      <c r="F64" s="2" t="s">
        <v>2</v>
      </c>
      <c r="G64" s="2">
        <v>419</v>
      </c>
      <c r="H64" s="2">
        <v>1787</v>
      </c>
      <c r="I64" s="2">
        <v>412.08</v>
      </c>
    </row>
    <row r="65" spans="1:9" ht="20" customHeight="1" x14ac:dyDescent="0.2">
      <c r="A65" s="2">
        <f t="shared" si="0"/>
        <v>64</v>
      </c>
      <c r="B65" s="2" t="s">
        <v>85</v>
      </c>
      <c r="C65" s="2" t="s">
        <v>409</v>
      </c>
      <c r="D65" s="3" t="d">
        <v>2015-12-22</v>
      </c>
      <c r="E65" s="3" t="d">
        <v>2016-12-22</v>
      </c>
      <c r="F65" s="2" t="s">
        <v>2</v>
      </c>
      <c r="G65" s="2">
        <v>321</v>
      </c>
      <c r="H65" s="2">
        <v>1226</v>
      </c>
      <c r="I65" s="2">
        <v>288.16000000000003</v>
      </c>
    </row>
    <row r="66" spans="1:9" ht="20" customHeight="1" x14ac:dyDescent="0.2">
      <c r="A66" s="2">
        <f t="shared" si="0"/>
        <v>65</v>
      </c>
      <c r="B66" s="2" t="s">
        <v>87</v>
      </c>
      <c r="C66" s="2" t="s">
        <v>410</v>
      </c>
      <c r="D66" s="3" t="d">
        <v>2016-07-12</v>
      </c>
      <c r="E66" s="3" t="d">
        <v>2017-07-12</v>
      </c>
      <c r="F66" s="2" t="s">
        <v>2</v>
      </c>
      <c r="G66" s="2">
        <v>359</v>
      </c>
      <c r="H66" s="2">
        <v>193</v>
      </c>
      <c r="I66" s="2">
        <v>-44.85</v>
      </c>
    </row>
    <row r="67" spans="1:9" ht="20" customHeight="1" x14ac:dyDescent="0.2">
      <c r="A67" s="2">
        <f t="shared" ref="A67:A124" si="1">ROW()-1</f>
        <v>66</v>
      </c>
      <c r="B67" s="2" t="s">
        <v>88</v>
      </c>
      <c r="C67" s="2" t="s">
        <v>411</v>
      </c>
      <c r="D67" s="3" t="d">
        <v>2016-09-05</v>
      </c>
      <c r="E67" s="3" t="d">
        <v>2017-09-05</v>
      </c>
      <c r="F67" s="2" t="s">
        <v>2</v>
      </c>
      <c r="G67" s="2">
        <v>392</v>
      </c>
      <c r="H67" s="2">
        <v>2337</v>
      </c>
      <c r="I67" s="2">
        <v>547.96</v>
      </c>
    </row>
    <row r="68" spans="1:9" ht="20" customHeight="1" x14ac:dyDescent="0.2">
      <c r="A68" s="2">
        <f t="shared" si="1"/>
        <v>67</v>
      </c>
      <c r="B68" s="2" t="s">
        <v>89</v>
      </c>
      <c r="C68" s="2" t="s">
        <v>412</v>
      </c>
      <c r="D68" s="3" t="d">
        <v>2016-09-07</v>
      </c>
      <c r="E68" s="3" t="d">
        <v>2017-09-07</v>
      </c>
      <c r="F68" s="2" t="s">
        <v>2</v>
      </c>
      <c r="G68" s="2">
        <v>277</v>
      </c>
      <c r="H68" s="2">
        <v>230</v>
      </c>
      <c r="I68" s="2">
        <v>-6.67</v>
      </c>
    </row>
    <row r="69" spans="1:9" ht="20" customHeight="1" x14ac:dyDescent="0.2">
      <c r="A69" s="2">
        <f t="shared" si="1"/>
        <v>68</v>
      </c>
      <c r="B69" s="2" t="s">
        <v>92</v>
      </c>
      <c r="C69" s="2" t="s">
        <v>413</v>
      </c>
      <c r="D69" s="3" t="d">
        <v>2017-01-12</v>
      </c>
      <c r="E69" s="3" t="d">
        <v>2018-01-12</v>
      </c>
      <c r="F69" s="2" t="s">
        <v>2</v>
      </c>
      <c r="G69" s="2">
        <v>353</v>
      </c>
      <c r="H69" s="2">
        <v>148</v>
      </c>
      <c r="I69" s="2">
        <v>-56.94</v>
      </c>
    </row>
    <row r="70" spans="1:9" ht="20" customHeight="1" x14ac:dyDescent="0.2">
      <c r="A70" s="2">
        <f t="shared" si="1"/>
        <v>69</v>
      </c>
      <c r="B70" s="2" t="s">
        <v>93</v>
      </c>
      <c r="C70" s="2" t="s">
        <v>414</v>
      </c>
      <c r="D70" s="3" t="d">
        <v>2017-02-08</v>
      </c>
      <c r="E70" s="3" t="d">
        <v>2018-02-08</v>
      </c>
      <c r="F70" s="2" t="s">
        <v>2</v>
      </c>
      <c r="G70" s="2">
        <v>506</v>
      </c>
      <c r="H70" s="2">
        <v>2200</v>
      </c>
      <c r="I70" s="2">
        <v>424.7</v>
      </c>
    </row>
    <row r="71" spans="1:9" ht="20" customHeight="1" x14ac:dyDescent="0.2">
      <c r="A71" s="2">
        <f t="shared" si="1"/>
        <v>70</v>
      </c>
      <c r="B71" s="2" t="s">
        <v>94</v>
      </c>
      <c r="C71" s="2" t="s">
        <v>415</v>
      </c>
      <c r="D71" s="3" t="d">
        <v>2017-02-08</v>
      </c>
      <c r="E71" s="3" t="d">
        <v>2018-02-08</v>
      </c>
      <c r="F71" s="2" t="s">
        <v>2</v>
      </c>
      <c r="G71" s="2">
        <v>346</v>
      </c>
      <c r="H71" s="2">
        <v>983</v>
      </c>
      <c r="I71" s="2">
        <v>1008.49</v>
      </c>
    </row>
    <row r="72" spans="1:9" ht="20" customHeight="1" x14ac:dyDescent="0.2">
      <c r="A72" s="2">
        <f t="shared" si="1"/>
        <v>71</v>
      </c>
      <c r="B72" s="2" t="s">
        <v>95</v>
      </c>
      <c r="C72" s="2" t="s">
        <v>416</v>
      </c>
      <c r="D72" s="3" t="d">
        <v>2017-02-13</v>
      </c>
      <c r="E72" s="3" t="d">
        <v>2018-02-13</v>
      </c>
      <c r="F72" s="2" t="s">
        <v>2</v>
      </c>
      <c r="G72" s="2">
        <v>348</v>
      </c>
      <c r="H72" s="2">
        <v>138</v>
      </c>
      <c r="I72" s="2">
        <v>-60.34</v>
      </c>
    </row>
    <row r="73" spans="1:9" ht="20" customHeight="1" x14ac:dyDescent="0.2">
      <c r="A73" s="2">
        <f t="shared" si="1"/>
        <v>72</v>
      </c>
      <c r="B73" s="2" t="s">
        <v>97</v>
      </c>
      <c r="C73" s="2" t="s">
        <v>417</v>
      </c>
      <c r="D73" s="3" t="d">
        <v>2017-04-16</v>
      </c>
      <c r="E73" s="3" t="d">
        <v>2018-04-16</v>
      </c>
      <c r="F73" s="2" t="s">
        <v>2</v>
      </c>
      <c r="G73" s="2">
        <v>326</v>
      </c>
      <c r="H73" s="2">
        <v>265</v>
      </c>
      <c r="I73" s="2">
        <v>-18.71</v>
      </c>
    </row>
    <row r="74" spans="1:9" ht="20" customHeight="1" x14ac:dyDescent="0.2">
      <c r="A74" s="2">
        <f t="shared" si="1"/>
        <v>73</v>
      </c>
      <c r="B74" s="2" t="s">
        <v>98</v>
      </c>
      <c r="C74" s="2" t="s">
        <v>418</v>
      </c>
      <c r="D74" s="3" t="d">
        <v>2017-05-17</v>
      </c>
      <c r="E74" s="3" t="d">
        <v>2018-05-17</v>
      </c>
      <c r="F74" s="2" t="s">
        <v>2</v>
      </c>
      <c r="G74" s="2">
        <v>265</v>
      </c>
      <c r="H74" s="2">
        <v>135</v>
      </c>
      <c r="I74" s="2">
        <v>-49.06</v>
      </c>
    </row>
    <row r="75" spans="1:9" ht="20" customHeight="1" x14ac:dyDescent="0.2">
      <c r="A75" s="2">
        <f t="shared" si="1"/>
        <v>74</v>
      </c>
      <c r="B75" s="2" t="s">
        <v>99</v>
      </c>
      <c r="C75" s="2" t="s">
        <v>419</v>
      </c>
      <c r="D75" s="3" t="d">
        <v>2017-05-21</v>
      </c>
      <c r="E75" s="3" t="d">
        <v>2018-05-21</v>
      </c>
      <c r="F75" s="2" t="s">
        <v>2</v>
      </c>
      <c r="G75" s="2">
        <v>1051</v>
      </c>
      <c r="H75" s="2">
        <v>2499</v>
      </c>
      <c r="I75" s="2">
        <v>258.08999999999997</v>
      </c>
    </row>
    <row r="76" spans="1:9" ht="20" customHeight="1" x14ac:dyDescent="0.2">
      <c r="A76" s="2">
        <f t="shared" si="1"/>
        <v>75</v>
      </c>
      <c r="B76" s="2" t="s">
        <v>100</v>
      </c>
      <c r="C76" s="2" t="s">
        <v>420</v>
      </c>
      <c r="D76" s="3" t="d">
        <v>2017-05-30</v>
      </c>
      <c r="E76" s="3" t="d">
        <v>2018-05-30</v>
      </c>
      <c r="F76" s="2" t="s">
        <v>2</v>
      </c>
      <c r="G76" s="2">
        <v>329</v>
      </c>
      <c r="H76" s="2">
        <v>190</v>
      </c>
      <c r="I76" s="2">
        <v>-40.729999999999997</v>
      </c>
    </row>
    <row r="77" spans="1:9" ht="20" customHeight="1" x14ac:dyDescent="0.2">
      <c r="A77" s="2">
        <f t="shared" si="1"/>
        <v>76</v>
      </c>
      <c r="B77" s="2" t="s">
        <v>102</v>
      </c>
      <c r="C77" s="2" t="s">
        <v>421</v>
      </c>
      <c r="D77" s="3" t="d">
        <v>2017-07-26</v>
      </c>
      <c r="E77" s="3" t="d">
        <v>2018-07-26</v>
      </c>
      <c r="F77" s="2" t="s">
        <v>2</v>
      </c>
      <c r="G77" s="2">
        <v>411</v>
      </c>
      <c r="H77" s="2">
        <v>1329</v>
      </c>
      <c r="I77" s="2">
        <v>290.85000000000002</v>
      </c>
    </row>
    <row r="78" spans="1:9" ht="20" customHeight="1" x14ac:dyDescent="0.2">
      <c r="A78" s="2">
        <f t="shared" si="1"/>
        <v>77</v>
      </c>
      <c r="B78" s="2" t="s">
        <v>103</v>
      </c>
      <c r="C78" s="2" t="s">
        <v>422</v>
      </c>
      <c r="D78" s="3" t="d">
        <v>2017-08-03</v>
      </c>
      <c r="E78" s="3" t="d">
        <v>2018-08-03</v>
      </c>
      <c r="F78" s="2" t="s">
        <v>2</v>
      </c>
      <c r="G78" s="2">
        <v>323</v>
      </c>
      <c r="H78" s="2">
        <v>126</v>
      </c>
      <c r="I78" s="2">
        <v>-60.68</v>
      </c>
    </row>
    <row r="79" spans="1:9" ht="20" customHeight="1" x14ac:dyDescent="0.2">
      <c r="A79" s="2">
        <f t="shared" si="1"/>
        <v>78</v>
      </c>
      <c r="B79" s="2" t="s">
        <v>104</v>
      </c>
      <c r="C79" s="2" t="s">
        <v>423</v>
      </c>
      <c r="D79" s="3" t="d">
        <v>2017-08-21</v>
      </c>
      <c r="E79" s="3" t="d">
        <v>2018-08-21</v>
      </c>
      <c r="F79" s="2" t="s">
        <v>2</v>
      </c>
      <c r="G79" s="2">
        <v>363</v>
      </c>
      <c r="H79" s="2">
        <v>251</v>
      </c>
      <c r="I79" s="2">
        <v>-30.85</v>
      </c>
    </row>
    <row r="80" spans="1:9" ht="20" customHeight="1" x14ac:dyDescent="0.2">
      <c r="A80" s="2">
        <f t="shared" si="1"/>
        <v>79</v>
      </c>
      <c r="B80" s="2" t="s">
        <v>105</v>
      </c>
      <c r="C80" s="2" t="s">
        <v>424</v>
      </c>
      <c r="D80" s="3" t="d">
        <v>2017-08-31</v>
      </c>
      <c r="E80" s="3" t="d">
        <v>2018-08-31</v>
      </c>
      <c r="F80" s="2" t="s">
        <v>2</v>
      </c>
      <c r="G80" s="2">
        <v>1658</v>
      </c>
      <c r="H80" s="2">
        <v>2365</v>
      </c>
      <c r="I80" s="2">
        <v>113.21</v>
      </c>
    </row>
    <row r="81" spans="1:9" ht="20" customHeight="1" x14ac:dyDescent="0.2">
      <c r="A81" s="2">
        <f t="shared" si="1"/>
        <v>80</v>
      </c>
      <c r="B81" s="2" t="s">
        <v>107</v>
      </c>
      <c r="C81" s="2" t="s">
        <v>425</v>
      </c>
      <c r="D81" s="3" t="d">
        <v>2017-11-15</v>
      </c>
      <c r="E81" s="3" t="d">
        <v>2018-11-15</v>
      </c>
      <c r="F81" s="2" t="s">
        <v>2</v>
      </c>
      <c r="G81" s="2">
        <v>322</v>
      </c>
      <c r="H81" s="2">
        <v>121</v>
      </c>
      <c r="I81" s="2">
        <v>-62.42</v>
      </c>
    </row>
    <row r="82" spans="1:9" ht="20" customHeight="1" x14ac:dyDescent="0.2">
      <c r="A82" s="2">
        <f t="shared" si="1"/>
        <v>81</v>
      </c>
      <c r="B82" s="2" t="s">
        <v>110</v>
      </c>
      <c r="C82" s="2" t="s">
        <v>426</v>
      </c>
      <c r="D82" s="3" t="d">
        <v>2018-03-27</v>
      </c>
      <c r="E82" s="3" t="d">
        <v>2019-03-27</v>
      </c>
      <c r="F82" s="2" t="s">
        <v>2</v>
      </c>
      <c r="G82" s="2">
        <v>170</v>
      </c>
      <c r="H82" s="2">
        <v>172</v>
      </c>
      <c r="I82" s="2">
        <v>11.65</v>
      </c>
    </row>
    <row r="83" spans="1:9" ht="20" customHeight="1" x14ac:dyDescent="0.2">
      <c r="A83" s="2">
        <f t="shared" si="1"/>
        <v>82</v>
      </c>
      <c r="B83" s="2" t="s">
        <v>111</v>
      </c>
      <c r="C83" s="2" t="s">
        <v>427</v>
      </c>
      <c r="D83" s="3" t="d">
        <v>2018-04-05</v>
      </c>
      <c r="E83" s="3" t="d">
        <v>2019-04-05</v>
      </c>
      <c r="F83" s="2" t="s">
        <v>2</v>
      </c>
      <c r="G83" s="2">
        <v>313</v>
      </c>
      <c r="H83" s="2">
        <v>609</v>
      </c>
      <c r="I83" s="2">
        <v>96.49</v>
      </c>
    </row>
    <row r="84" spans="1:9" ht="20" customHeight="1" x14ac:dyDescent="0.2">
      <c r="A84" s="2">
        <f t="shared" si="1"/>
        <v>83</v>
      </c>
      <c r="B84" s="2" t="s">
        <v>112</v>
      </c>
      <c r="C84" s="2" t="s">
        <v>428</v>
      </c>
      <c r="D84" s="3" t="d">
        <v>2018-08-30</v>
      </c>
      <c r="E84" s="3" t="d">
        <v>2019-08-30</v>
      </c>
      <c r="F84" s="2" t="s">
        <v>2</v>
      </c>
      <c r="G84" s="2">
        <v>650</v>
      </c>
      <c r="H84" s="2">
        <v>461</v>
      </c>
      <c r="I84" s="2">
        <v>69.62</v>
      </c>
    </row>
    <row r="85" spans="1:9" ht="20" customHeight="1" x14ac:dyDescent="0.2">
      <c r="A85" s="2">
        <f t="shared" si="1"/>
        <v>84</v>
      </c>
      <c r="B85" s="2" t="s">
        <v>113</v>
      </c>
      <c r="C85" s="2" t="s">
        <v>429</v>
      </c>
      <c r="D85" s="3" t="d">
        <v>2018-10-11</v>
      </c>
      <c r="E85" s="3" t="d">
        <v>2019-10-11</v>
      </c>
      <c r="F85" s="2" t="s">
        <v>2</v>
      </c>
      <c r="G85" s="2">
        <v>121</v>
      </c>
      <c r="H85" s="2">
        <v>80</v>
      </c>
      <c r="I85" s="2">
        <v>-34.71</v>
      </c>
    </row>
    <row r="86" spans="1:9" ht="20" customHeight="1" x14ac:dyDescent="0.2">
      <c r="A86" s="2">
        <f t="shared" si="1"/>
        <v>85</v>
      </c>
      <c r="B86" s="2" t="s">
        <v>114</v>
      </c>
      <c r="C86" s="2" t="s">
        <v>430</v>
      </c>
      <c r="D86" s="3" t="d">
        <v>2018-10-11</v>
      </c>
      <c r="E86" s="3" t="d">
        <v>2019-10-11</v>
      </c>
      <c r="F86" s="2" t="s">
        <v>2</v>
      </c>
      <c r="G86" s="2">
        <v>136</v>
      </c>
      <c r="H86" s="2">
        <v>88</v>
      </c>
      <c r="I86" s="2">
        <v>-34.56</v>
      </c>
    </row>
    <row r="87" spans="1:9" ht="20" customHeight="1" x14ac:dyDescent="0.2">
      <c r="A87" s="2">
        <f t="shared" si="1"/>
        <v>86</v>
      </c>
      <c r="B87" s="2" t="s">
        <v>115</v>
      </c>
      <c r="C87" s="2" t="s">
        <v>431</v>
      </c>
      <c r="D87" s="3" t="d">
        <v>2018-12-20</v>
      </c>
      <c r="E87" s="3" t="d">
        <v>2019-12-20</v>
      </c>
      <c r="F87" s="2" t="s">
        <v>2</v>
      </c>
      <c r="G87" s="2">
        <v>102</v>
      </c>
      <c r="H87" s="2">
        <v>57</v>
      </c>
      <c r="I87" s="2">
        <v>-44.12</v>
      </c>
    </row>
    <row r="88" spans="1:9" ht="20" customHeight="1" x14ac:dyDescent="0.2">
      <c r="A88" s="2">
        <f t="shared" si="1"/>
        <v>87</v>
      </c>
      <c r="B88" s="2" t="s">
        <v>116</v>
      </c>
      <c r="C88" s="2" t="s">
        <v>432</v>
      </c>
      <c r="D88" s="3" t="d">
        <v>2019-01-07</v>
      </c>
      <c r="E88" s="3" t="d">
        <v>2020-01-07</v>
      </c>
      <c r="F88" s="2" t="s">
        <v>2</v>
      </c>
      <c r="G88" s="2">
        <v>279</v>
      </c>
      <c r="H88" s="2">
        <v>67</v>
      </c>
      <c r="I88" s="2">
        <v>-75.989999999999995</v>
      </c>
    </row>
    <row r="89" spans="1:9" ht="20" customHeight="1" x14ac:dyDescent="0.2">
      <c r="A89" s="2">
        <f t="shared" si="1"/>
        <v>88</v>
      </c>
      <c r="B89" s="2" t="s">
        <v>117</v>
      </c>
      <c r="C89" s="2" t="s">
        <v>433</v>
      </c>
      <c r="D89" s="3" t="d">
        <v>2019-01-13</v>
      </c>
      <c r="E89" s="3" t="d">
        <v>2020-01-13</v>
      </c>
      <c r="F89" s="2" t="s">
        <v>2</v>
      </c>
      <c r="G89" s="2">
        <v>224</v>
      </c>
      <c r="H89" s="2">
        <v>249</v>
      </c>
      <c r="I89" s="2">
        <v>11.16</v>
      </c>
    </row>
    <row r="90" spans="1:9" ht="20" customHeight="1" x14ac:dyDescent="0.2">
      <c r="A90" s="2">
        <f t="shared" si="1"/>
        <v>89</v>
      </c>
      <c r="B90" s="2" t="s">
        <v>118</v>
      </c>
      <c r="C90" s="2" t="s">
        <v>434</v>
      </c>
      <c r="D90" s="3" t="d">
        <v>2019-01-21</v>
      </c>
      <c r="E90" s="3" t="d">
        <v>2020-01-21</v>
      </c>
      <c r="F90" s="2" t="s">
        <v>2</v>
      </c>
      <c r="G90" s="2">
        <v>505</v>
      </c>
      <c r="H90" s="2">
        <v>789</v>
      </c>
      <c r="I90" s="2">
        <v>106.57</v>
      </c>
    </row>
    <row r="91" spans="1:9" ht="20" customHeight="1" x14ac:dyDescent="0.2">
      <c r="A91" s="2">
        <f t="shared" si="1"/>
        <v>90</v>
      </c>
      <c r="B91" s="2" t="s">
        <v>119</v>
      </c>
      <c r="C91" s="2" t="s">
        <v>435</v>
      </c>
      <c r="D91" s="3" t="d">
        <v>2019-02-17</v>
      </c>
      <c r="E91" s="3" t="d">
        <v>2020-02-17</v>
      </c>
      <c r="F91" s="2" t="s">
        <v>2</v>
      </c>
      <c r="G91" s="2">
        <v>190</v>
      </c>
      <c r="H91" s="2">
        <v>69</v>
      </c>
      <c r="I91" s="2">
        <v>-66.84</v>
      </c>
    </row>
    <row r="92" spans="1:9" ht="20" customHeight="1" x14ac:dyDescent="0.2">
      <c r="A92" s="2">
        <f t="shared" si="1"/>
        <v>91</v>
      </c>
      <c r="B92" s="2" t="s">
        <v>120</v>
      </c>
      <c r="C92" s="2" t="s">
        <v>436</v>
      </c>
      <c r="D92" s="3" t="d">
        <v>2019-03-11</v>
      </c>
      <c r="E92" s="3" t="d">
        <v>2020-03-11</v>
      </c>
      <c r="F92" s="2" t="s">
        <v>2</v>
      </c>
      <c r="G92" s="2">
        <v>306</v>
      </c>
      <c r="H92" s="2">
        <v>710</v>
      </c>
      <c r="I92" s="2">
        <v>160.08000000000001</v>
      </c>
    </row>
    <row r="93" spans="1:9" ht="20" customHeight="1" x14ac:dyDescent="0.2">
      <c r="A93" s="2">
        <f t="shared" si="1"/>
        <v>92</v>
      </c>
      <c r="B93" s="2" t="s">
        <v>121</v>
      </c>
      <c r="C93" s="2" t="s">
        <v>437</v>
      </c>
      <c r="D93" s="3" t="d">
        <v>2019-03-24</v>
      </c>
      <c r="E93" s="3" t="d">
        <v>2020-03-24</v>
      </c>
      <c r="F93" s="2" t="s">
        <v>2</v>
      </c>
      <c r="G93" s="2">
        <v>418</v>
      </c>
      <c r="H93" s="2">
        <v>473</v>
      </c>
      <c r="I93" s="2">
        <v>24.06</v>
      </c>
    </row>
    <row r="94" spans="1:9" ht="20" customHeight="1" x14ac:dyDescent="0.2">
      <c r="A94" s="2">
        <f t="shared" si="1"/>
        <v>93</v>
      </c>
      <c r="B94" s="2" t="s">
        <v>122</v>
      </c>
      <c r="C94" s="2" t="s">
        <v>438</v>
      </c>
      <c r="D94" s="3" t="d">
        <v>2019-03-24</v>
      </c>
      <c r="E94" s="3" t="d">
        <v>2020-03-24</v>
      </c>
      <c r="F94" s="2" t="s">
        <v>2</v>
      </c>
      <c r="G94" s="2">
        <v>270</v>
      </c>
      <c r="H94" s="2">
        <v>67</v>
      </c>
      <c r="I94" s="2">
        <v>-72.959999999999994</v>
      </c>
    </row>
    <row r="95" spans="1:9" ht="20" customHeight="1" x14ac:dyDescent="0.2">
      <c r="A95" s="2">
        <f t="shared" si="1"/>
        <v>94</v>
      </c>
      <c r="B95" s="2" t="s">
        <v>123</v>
      </c>
      <c r="C95" s="2" t="s">
        <v>439</v>
      </c>
      <c r="D95" s="3" t="d">
        <v>2019-04-17</v>
      </c>
      <c r="E95" s="3" t="d">
        <v>2020-04-17</v>
      </c>
      <c r="F95" s="2" t="s">
        <v>2</v>
      </c>
      <c r="G95" s="2">
        <v>101</v>
      </c>
      <c r="H95" s="2">
        <v>87</v>
      </c>
      <c r="I95" s="2">
        <v>-12.87</v>
      </c>
    </row>
    <row r="96" spans="1:9" ht="20" customHeight="1" x14ac:dyDescent="0.2">
      <c r="A96" s="2">
        <f t="shared" si="1"/>
        <v>95</v>
      </c>
      <c r="B96" s="2" t="s">
        <v>124</v>
      </c>
      <c r="C96" s="2" t="s">
        <v>440</v>
      </c>
      <c r="D96" s="3" t="d">
        <v>2019-05-05</v>
      </c>
      <c r="E96" s="3" t="d">
        <v>2020-05-05</v>
      </c>
      <c r="F96" s="2" t="s">
        <v>2</v>
      </c>
      <c r="G96" s="2">
        <v>255</v>
      </c>
      <c r="H96" s="2">
        <v>100</v>
      </c>
      <c r="I96" s="2">
        <v>-58.04</v>
      </c>
    </row>
    <row r="97" spans="1:9" ht="20" customHeight="1" x14ac:dyDescent="0.2">
      <c r="A97" s="2">
        <f t="shared" si="1"/>
        <v>96</v>
      </c>
      <c r="B97" s="2" t="s">
        <v>125</v>
      </c>
      <c r="C97" s="2" t="s">
        <v>441</v>
      </c>
      <c r="D97" s="3" t="d">
        <v>2019-05-22</v>
      </c>
      <c r="E97" s="3" t="d">
        <v>2020-05-22</v>
      </c>
      <c r="F97" s="2" t="s">
        <v>2</v>
      </c>
      <c r="G97" s="2">
        <v>144</v>
      </c>
      <c r="H97" s="2">
        <v>93</v>
      </c>
      <c r="I97" s="2">
        <v>-34.72</v>
      </c>
    </row>
    <row r="98" spans="1:9" ht="20" customHeight="1" x14ac:dyDescent="0.2">
      <c r="A98" s="2">
        <f t="shared" si="1"/>
        <v>97</v>
      </c>
      <c r="B98" s="2" t="s">
        <v>126</v>
      </c>
      <c r="C98" s="2" t="s">
        <v>442</v>
      </c>
      <c r="D98" s="3" t="d">
        <v>2019-06-02</v>
      </c>
      <c r="E98" s="3" t="d">
        <v>2020-06-02</v>
      </c>
      <c r="F98" s="2" t="s">
        <v>2</v>
      </c>
      <c r="G98" s="2">
        <v>279</v>
      </c>
      <c r="H98" s="2">
        <v>619</v>
      </c>
      <c r="I98" s="2">
        <v>133.88</v>
      </c>
    </row>
    <row r="99" spans="1:9" ht="20" customHeight="1" x14ac:dyDescent="0.2">
      <c r="A99" s="2">
        <f t="shared" si="1"/>
        <v>98</v>
      </c>
      <c r="B99" s="2" t="s">
        <v>127</v>
      </c>
      <c r="C99" s="2" t="s">
        <v>443</v>
      </c>
      <c r="D99" s="3" t="d">
        <v>2019-06-06</v>
      </c>
      <c r="E99" s="3" t="d">
        <v>2020-06-06</v>
      </c>
      <c r="F99" s="2" t="s">
        <v>2</v>
      </c>
      <c r="G99" s="2">
        <v>237</v>
      </c>
      <c r="H99" s="2">
        <v>737</v>
      </c>
      <c r="I99" s="2">
        <v>240.11</v>
      </c>
    </row>
    <row r="100" spans="1:9" ht="20" customHeight="1" x14ac:dyDescent="0.2">
      <c r="A100" s="2">
        <f t="shared" si="1"/>
        <v>99</v>
      </c>
      <c r="B100" s="2" t="s">
        <v>128</v>
      </c>
      <c r="C100" s="2" t="s">
        <v>444</v>
      </c>
      <c r="D100" s="3" t="d">
        <v>2019-06-12</v>
      </c>
      <c r="E100" s="3" t="d">
        <v>2020-06-12</v>
      </c>
      <c r="F100" s="2" t="s">
        <v>2</v>
      </c>
      <c r="G100" s="2">
        <v>150</v>
      </c>
      <c r="H100" s="2">
        <v>50</v>
      </c>
      <c r="I100" s="2">
        <v>-66</v>
      </c>
    </row>
    <row r="101" spans="1:9" ht="20" customHeight="1" x14ac:dyDescent="0.2">
      <c r="A101" s="2">
        <f t="shared" si="1"/>
        <v>100</v>
      </c>
      <c r="B101" s="2" t="s">
        <v>129</v>
      </c>
      <c r="C101" s="2" t="s">
        <v>445</v>
      </c>
      <c r="D101" s="3" t="d">
        <v>2019-06-17</v>
      </c>
      <c r="E101" s="3" t="d">
        <v>2020-06-17</v>
      </c>
      <c r="F101" s="2" t="s">
        <v>2</v>
      </c>
      <c r="G101" s="2">
        <v>281</v>
      </c>
      <c r="H101" s="2">
        <v>840</v>
      </c>
      <c r="I101" s="2">
        <v>285.69</v>
      </c>
    </row>
    <row r="102" spans="1:9" ht="20" customHeight="1" x14ac:dyDescent="0.2">
      <c r="A102" s="2">
        <f t="shared" si="1"/>
        <v>101</v>
      </c>
      <c r="B102" s="2" t="s">
        <v>130</v>
      </c>
      <c r="C102" s="2" t="s">
        <v>446</v>
      </c>
      <c r="D102" s="3" t="d">
        <v>2019-07-08</v>
      </c>
      <c r="E102" s="3" t="d">
        <v>2020-07-08</v>
      </c>
      <c r="F102" s="2" t="s">
        <v>2</v>
      </c>
      <c r="G102" s="2">
        <v>343.2</v>
      </c>
      <c r="H102" s="2">
        <v>744</v>
      </c>
      <c r="I102" s="2">
        <v>139.91999999999999</v>
      </c>
    </row>
    <row r="103" spans="1:9" ht="20" customHeight="1" x14ac:dyDescent="0.2">
      <c r="A103" s="2">
        <f t="shared" si="1"/>
        <v>102</v>
      </c>
      <c r="B103" s="2" t="s">
        <v>131</v>
      </c>
      <c r="C103" s="2" t="s">
        <v>447</v>
      </c>
      <c r="D103" s="3" t="d">
        <v>2019-08-06</v>
      </c>
      <c r="E103" s="3" t="d">
        <v>2020-08-06</v>
      </c>
      <c r="F103" s="2" t="s">
        <v>2</v>
      </c>
      <c r="G103" s="2">
        <v>263</v>
      </c>
      <c r="H103" s="2">
        <v>144</v>
      </c>
      <c r="I103" s="2">
        <v>-45.25</v>
      </c>
    </row>
    <row r="104" spans="1:9" ht="20" customHeight="1" x14ac:dyDescent="0.2">
      <c r="A104" s="2">
        <f t="shared" si="1"/>
        <v>103</v>
      </c>
      <c r="B104" s="2" t="s">
        <v>132</v>
      </c>
      <c r="C104" s="2" t="s">
        <v>448</v>
      </c>
      <c r="D104" s="3" t="d">
        <v>2019-08-06</v>
      </c>
      <c r="E104" s="3" t="d">
        <v>2020-08-06</v>
      </c>
      <c r="F104" s="2" t="s">
        <v>2</v>
      </c>
      <c r="G104" s="2">
        <v>261</v>
      </c>
      <c r="H104" s="2">
        <v>135</v>
      </c>
      <c r="I104" s="2">
        <v>-48.28</v>
      </c>
    </row>
    <row r="105" spans="1:9" ht="20" customHeight="1" x14ac:dyDescent="0.2">
      <c r="A105" s="2">
        <f t="shared" si="1"/>
        <v>104</v>
      </c>
      <c r="B105" s="2" t="s">
        <v>136</v>
      </c>
      <c r="C105" s="2" t="s">
        <v>450</v>
      </c>
      <c r="D105" s="3" t="d">
        <v>2020-06-29</v>
      </c>
      <c r="E105" s="3" t="d">
        <v>2021-06-29</v>
      </c>
      <c r="F105" s="2" t="s">
        <v>2</v>
      </c>
      <c r="G105" s="2">
        <v>382</v>
      </c>
      <c r="H105" s="2">
        <v>1650</v>
      </c>
      <c r="I105" s="2">
        <v>331.94</v>
      </c>
    </row>
    <row r="106" spans="1:9" ht="20" customHeight="1" x14ac:dyDescent="0.2">
      <c r="A106" s="2">
        <f t="shared" si="1"/>
        <v>105</v>
      </c>
      <c r="B106" s="2" t="s">
        <v>137</v>
      </c>
      <c r="C106" s="2" t="s">
        <v>451</v>
      </c>
      <c r="D106" s="3" t="d">
        <v>2020-07-09</v>
      </c>
      <c r="E106" s="3" t="d">
        <v>2021-07-09</v>
      </c>
      <c r="F106" s="2" t="s">
        <v>2</v>
      </c>
      <c r="G106" s="2">
        <v>364</v>
      </c>
      <c r="H106" s="2">
        <v>1550</v>
      </c>
      <c r="I106" s="2">
        <v>315.11</v>
      </c>
    </row>
    <row r="107" spans="1:9" ht="20" customHeight="1" x14ac:dyDescent="0.2">
      <c r="A107" s="2">
        <f t="shared" si="1"/>
        <v>106</v>
      </c>
      <c r="B107" s="2" t="s">
        <v>140</v>
      </c>
      <c r="C107" s="2" t="s">
        <v>453</v>
      </c>
      <c r="D107" s="3" t="d">
        <v>2020-07-29</v>
      </c>
      <c r="E107" s="3" t="d">
        <v>2021-07-29</v>
      </c>
      <c r="F107" s="2" t="s">
        <v>2</v>
      </c>
      <c r="G107" s="2">
        <v>492</v>
      </c>
      <c r="H107" s="2">
        <v>1670</v>
      </c>
      <c r="I107" s="2">
        <v>269.47000000000003</v>
      </c>
    </row>
    <row r="108" spans="1:9" ht="20" customHeight="1" x14ac:dyDescent="0.2">
      <c r="A108" s="10">
        <f t="shared" si="1"/>
        <v>107</v>
      </c>
      <c r="B108" s="10" t="s">
        <v>141</v>
      </c>
      <c r="C108" s="10" t="s">
        <v>454</v>
      </c>
      <c r="D108" s="11" t="d">
        <v>2020-08-26</v>
      </c>
      <c r="E108" s="11" t="d">
        <v>2021-08-26</v>
      </c>
      <c r="F108" s="10" t="s">
        <v>2</v>
      </c>
      <c r="G108" s="10">
        <v>336</v>
      </c>
      <c r="H108" s="10">
        <v>930</v>
      </c>
      <c r="I108" s="10">
        <v>184.72</v>
      </c>
    </row>
    <row r="109" spans="1:9" ht="20" customHeight="1" x14ac:dyDescent="0.2">
      <c r="A109" s="2">
        <f>ROW()-1</f>
        <v>108</v>
      </c>
      <c r="B109" s="2" t="s">
        <v>142</v>
      </c>
      <c r="C109" s="2" t="s">
        <v>455</v>
      </c>
      <c r="D109" s="3" t="d">
        <v>2020-08-30</v>
      </c>
      <c r="E109" s="3" t="d">
        <v>2021-08-30</v>
      </c>
      <c r="F109" s="2" t="s">
        <v>2</v>
      </c>
      <c r="G109" s="2">
        <v>684</v>
      </c>
      <c r="H109" s="2">
        <v>2149.1999999999998</v>
      </c>
      <c r="I109" s="2">
        <v>266.87</v>
      </c>
    </row>
    <row r="110" spans="1:9" ht="20" customHeight="1" x14ac:dyDescent="0.2">
      <c r="A110" s="12">
        <f t="shared" si="1"/>
        <v>109</v>
      </c>
      <c r="B110" s="12" t="s">
        <v>143</v>
      </c>
      <c r="C110" s="12" t="s">
        <v>456</v>
      </c>
      <c r="D110" s="13" t="d">
        <v>2020-09-14</v>
      </c>
      <c r="E110" s="13" t="d">
        <v>2021-09-14</v>
      </c>
      <c r="F110" s="12" t="s">
        <v>2</v>
      </c>
      <c r="G110" s="12">
        <v>9.2799999999999994</v>
      </c>
      <c r="H110" s="12">
        <v>10.45</v>
      </c>
      <c r="I110" s="12">
        <v>282</v>
      </c>
    </row>
    <row r="111" spans="1:9" ht="20" customHeight="1" x14ac:dyDescent="0.2">
      <c r="A111" s="10">
        <f t="shared" si="1"/>
        <v>110</v>
      </c>
      <c r="B111" s="10" t="s">
        <v>145</v>
      </c>
      <c r="C111" s="10" t="s">
        <v>457</v>
      </c>
      <c r="D111" s="11" t="d">
        <v>2020-09-20</v>
      </c>
      <c r="E111" s="11" t="d">
        <v>2021-09-20</v>
      </c>
      <c r="F111" s="10" t="s">
        <v>2</v>
      </c>
      <c r="G111" s="10">
        <v>270</v>
      </c>
      <c r="H111" s="10">
        <v>383</v>
      </c>
      <c r="I111" s="10">
        <v>41.85</v>
      </c>
    </row>
    <row r="112" spans="1:9" ht="20" customHeight="1" x14ac:dyDescent="0.2">
      <c r="A112" s="2">
        <f>ROW()-1</f>
        <v>111</v>
      </c>
      <c r="B112" s="2" t="s">
        <v>146</v>
      </c>
      <c r="C112" s="2" t="s">
        <v>458</v>
      </c>
      <c r="D112" s="3" t="d">
        <v>2020-10-29</v>
      </c>
      <c r="E112" s="3" t="d">
        <v>2021-10-29</v>
      </c>
      <c r="F112" s="2" t="s">
        <v>2</v>
      </c>
      <c r="G112" s="2">
        <v>132</v>
      </c>
      <c r="H112" s="2">
        <v>425</v>
      </c>
      <c r="I112" s="2">
        <v>202.27</v>
      </c>
    </row>
    <row r="113" spans="1:9" ht="20" customHeight="1" x14ac:dyDescent="0.2">
      <c r="A113" s="12">
        <f t="shared" si="1"/>
        <v>112</v>
      </c>
      <c r="B113" s="12" t="s">
        <v>149</v>
      </c>
      <c r="C113" s="12" t="s">
        <v>459</v>
      </c>
      <c r="D113" s="13" t="d">
        <v>2020-12-16</v>
      </c>
      <c r="E113" s="13" t="d">
        <v>2021-12-16</v>
      </c>
      <c r="F113" s="12" t="s">
        <v>2</v>
      </c>
      <c r="G113" s="12">
        <v>378</v>
      </c>
      <c r="H113" s="12">
        <v>1081.8</v>
      </c>
      <c r="I113" s="12">
        <v>186.19</v>
      </c>
    </row>
    <row r="114" spans="1:9" ht="20" customHeight="1" x14ac:dyDescent="0.2">
      <c r="A114" s="2">
        <f t="shared" si="1"/>
        <v>113</v>
      </c>
      <c r="B114" s="2" t="s">
        <v>150</v>
      </c>
      <c r="C114" s="2" t="s">
        <v>460</v>
      </c>
      <c r="D114" s="3" t="d">
        <v>2020-12-20</v>
      </c>
      <c r="E114" s="3" t="d">
        <v>2021-12-20</v>
      </c>
      <c r="F114" s="2" t="s">
        <v>2</v>
      </c>
      <c r="G114" s="2">
        <v>325</v>
      </c>
      <c r="H114" s="2">
        <v>480</v>
      </c>
      <c r="I114" s="2">
        <v>47.69</v>
      </c>
    </row>
    <row r="115" spans="1:9" ht="20" customHeight="1" x14ac:dyDescent="0.2">
      <c r="A115" s="2">
        <f t="shared" si="1"/>
        <v>114</v>
      </c>
      <c r="B115" s="2" t="s">
        <v>152</v>
      </c>
      <c r="C115" s="2" t="s">
        <v>461</v>
      </c>
      <c r="D115" s="3" t="d">
        <v>2021-02-07</v>
      </c>
      <c r="E115" s="3" t="d">
        <v>2022-02-07</v>
      </c>
      <c r="F115" s="2" t="s">
        <v>2</v>
      </c>
      <c r="G115" s="2">
        <v>164</v>
      </c>
      <c r="H115" s="2">
        <v>1419</v>
      </c>
      <c r="I115" s="2">
        <v>765.24</v>
      </c>
    </row>
    <row r="116" spans="1:9" ht="20" customHeight="1" x14ac:dyDescent="0.2">
      <c r="A116" s="2">
        <f t="shared" si="1"/>
        <v>115</v>
      </c>
      <c r="B116" s="2" t="s">
        <v>153</v>
      </c>
      <c r="C116" s="2" t="s">
        <v>462</v>
      </c>
      <c r="D116" s="3" t="d">
        <v>2021-02-14</v>
      </c>
      <c r="E116" s="3" t="d">
        <v>2022-02-14</v>
      </c>
      <c r="F116" s="2" t="s">
        <v>2</v>
      </c>
      <c r="G116" s="2">
        <v>374</v>
      </c>
      <c r="H116" s="2">
        <v>364</v>
      </c>
      <c r="I116" s="2">
        <v>5.22</v>
      </c>
    </row>
    <row r="117" spans="1:9" ht="20" customHeight="1" x14ac:dyDescent="0.2">
      <c r="A117" s="2">
        <f t="shared" si="1"/>
        <v>116</v>
      </c>
      <c r="B117" s="2" t="s">
        <v>155</v>
      </c>
      <c r="C117" s="2" t="s">
        <v>463</v>
      </c>
      <c r="D117" s="3" t="d">
        <v>2021-03-16</v>
      </c>
      <c r="E117" s="3" t="d">
        <v>2022-03-16</v>
      </c>
      <c r="F117" s="2" t="s">
        <v>2</v>
      </c>
      <c r="G117" s="2">
        <v>328</v>
      </c>
      <c r="H117" s="2">
        <v>462.5</v>
      </c>
      <c r="I117" s="2">
        <v>41.01</v>
      </c>
    </row>
    <row r="118" spans="1:9" ht="20" customHeight="1" x14ac:dyDescent="0.2">
      <c r="A118" s="2">
        <f t="shared" si="1"/>
        <v>117</v>
      </c>
      <c r="B118" s="2" t="s">
        <v>156</v>
      </c>
      <c r="C118" s="2" t="s">
        <v>464</v>
      </c>
      <c r="D118" s="3" t="d">
        <v>2021-03-16</v>
      </c>
      <c r="E118" s="3" t="d">
        <v>2022-03-16</v>
      </c>
      <c r="F118" s="2" t="s">
        <v>2</v>
      </c>
      <c r="G118" s="2">
        <v>446</v>
      </c>
      <c r="H118" s="2">
        <v>3648</v>
      </c>
      <c r="I118" s="2">
        <v>1107.02</v>
      </c>
    </row>
    <row r="119" spans="1:9" ht="20" customHeight="1" x14ac:dyDescent="0.2">
      <c r="A119" s="2">
        <f t="shared" si="1"/>
        <v>118</v>
      </c>
      <c r="B119" s="2" t="s">
        <v>159</v>
      </c>
      <c r="C119" s="2" t="s">
        <v>465</v>
      </c>
      <c r="D119" s="3" t="d">
        <v>2021-04-28</v>
      </c>
      <c r="E119" s="3" t="d">
        <v>2022-04-28</v>
      </c>
      <c r="F119" s="2" t="s">
        <v>2</v>
      </c>
      <c r="G119" s="2">
        <v>330</v>
      </c>
      <c r="H119" s="2">
        <v>340</v>
      </c>
      <c r="I119" s="2">
        <v>3.03</v>
      </c>
    </row>
    <row r="120" spans="1:9" ht="20" customHeight="1" x14ac:dyDescent="0.2">
      <c r="A120" s="2">
        <f t="shared" si="1"/>
        <v>119</v>
      </c>
      <c r="B120" s="2" t="s">
        <v>161</v>
      </c>
      <c r="C120" s="2" t="s">
        <v>466</v>
      </c>
      <c r="D120" s="3" t="d">
        <v>2021-05-03</v>
      </c>
      <c r="E120" s="3" t="d">
        <v>2022-05-03</v>
      </c>
      <c r="F120" s="2" t="s">
        <v>2</v>
      </c>
      <c r="G120" s="2">
        <v>384</v>
      </c>
      <c r="H120" s="2">
        <v>895.4</v>
      </c>
      <c r="I120" s="2">
        <v>162.6</v>
      </c>
    </row>
    <row r="121" spans="1:9" ht="20" customHeight="1" x14ac:dyDescent="0.2">
      <c r="A121" s="2">
        <f t="shared" si="1"/>
        <v>120</v>
      </c>
      <c r="B121" s="2" t="s">
        <v>163</v>
      </c>
      <c r="C121" s="2" t="s">
        <v>467</v>
      </c>
      <c r="D121" s="3" t="d">
        <v>2021-06-09</v>
      </c>
      <c r="E121" s="3" t="d">
        <v>2022-06-09</v>
      </c>
      <c r="F121" s="2" t="s">
        <v>2</v>
      </c>
      <c r="G121" s="2">
        <v>457</v>
      </c>
      <c r="H121" s="2">
        <v>720</v>
      </c>
      <c r="I121" s="2">
        <v>57.55</v>
      </c>
    </row>
    <row r="122" spans="1:9" ht="20" customHeight="1" x14ac:dyDescent="0.2">
      <c r="A122" s="2">
        <f t="shared" si="1"/>
        <v>121</v>
      </c>
      <c r="B122" s="2" t="s">
        <v>168</v>
      </c>
      <c r="C122" s="2" t="s">
        <v>469</v>
      </c>
      <c r="D122" s="3" t="d">
        <v>2021-07-29</v>
      </c>
      <c r="E122" s="3" t="d">
        <v>2022-07-29</v>
      </c>
      <c r="F122" s="2" t="s">
        <v>2</v>
      </c>
      <c r="G122" s="2">
        <v>989.1</v>
      </c>
      <c r="H122" s="2">
        <v>2855</v>
      </c>
      <c r="I122" s="2">
        <v>391.07</v>
      </c>
    </row>
    <row r="123" spans="1:9" ht="20" customHeight="1" x14ac:dyDescent="0.2">
      <c r="A123" s="2">
        <f t="shared" si="1"/>
        <v>122</v>
      </c>
      <c r="B123" s="2" t="s">
        <v>171</v>
      </c>
      <c r="C123" s="2" t="s">
        <v>470</v>
      </c>
      <c r="D123" s="3" t="d">
        <v>2021-09-22</v>
      </c>
      <c r="E123" s="3" t="d">
        <v>2022-09-22</v>
      </c>
      <c r="F123" s="2" t="s">
        <v>2</v>
      </c>
      <c r="G123" s="2">
        <v>186.5</v>
      </c>
      <c r="H123" s="2">
        <v>441.2</v>
      </c>
      <c r="I123" s="2">
        <v>136.57</v>
      </c>
    </row>
    <row r="124" spans="1:9" ht="20" customHeight="1" x14ac:dyDescent="0.2">
      <c r="A124" s="2">
        <f t="shared" si="1"/>
        <v>123</v>
      </c>
      <c r="B124" s="2" t="s">
        <v>172</v>
      </c>
      <c r="C124" s="2" t="s">
        <v>471</v>
      </c>
      <c r="D124" s="3" t="d">
        <v>2021-10-06</v>
      </c>
      <c r="E124" s="3" t="d">
        <v>2022-10-06</v>
      </c>
      <c r="F124" s="2" t="s">
        <v>2</v>
      </c>
      <c r="G124" s="2">
        <v>397.5</v>
      </c>
      <c r="H124" s="2">
        <v>1089</v>
      </c>
      <c r="I124" s="2">
        <v>171.7</v>
      </c>
    </row>
    <row r="125" spans="1:9" ht="20" customHeight="1" x14ac:dyDescent="0.2">
      <c r="A125" s="2">
        <f t="shared" ref="A125:A185" si="2">ROW()-1</f>
        <v>124</v>
      </c>
      <c r="B125" s="2" t="s">
        <v>173</v>
      </c>
      <c r="C125" s="2" t="s">
        <v>472</v>
      </c>
      <c r="D125" s="3" t="d">
        <v>2021-10-19</v>
      </c>
      <c r="E125" s="3" t="d">
        <v>2022-10-19</v>
      </c>
      <c r="F125" s="2" t="s">
        <v>2</v>
      </c>
      <c r="G125" s="2">
        <v>273</v>
      </c>
      <c r="H125" s="2">
        <v>164</v>
      </c>
      <c r="I125" s="2">
        <v>-39.93</v>
      </c>
    </row>
    <row r="126" spans="1:9" ht="20" customHeight="1" x14ac:dyDescent="0.2">
      <c r="A126" s="2">
        <f t="shared" si="2"/>
        <v>125</v>
      </c>
      <c r="B126" s="2" t="s">
        <v>175</v>
      </c>
      <c r="C126" s="2" t="s">
        <v>473</v>
      </c>
      <c r="D126" s="3" t="d">
        <v>2021-10-31</v>
      </c>
      <c r="E126" s="3" t="d">
        <v>2022-10-31</v>
      </c>
      <c r="F126" s="2" t="s">
        <v>2</v>
      </c>
      <c r="G126" s="2">
        <v>445.8</v>
      </c>
      <c r="H126" s="2">
        <v>426</v>
      </c>
      <c r="I126" s="2">
        <v>-4.4400000000000004</v>
      </c>
    </row>
    <row r="127" spans="1:9" ht="20" customHeight="1" x14ac:dyDescent="0.2">
      <c r="A127" s="2">
        <f t="shared" si="2"/>
        <v>126</v>
      </c>
      <c r="B127" s="2" t="s">
        <v>176</v>
      </c>
      <c r="C127" s="2" t="s">
        <v>474</v>
      </c>
      <c r="D127" s="3" t="d">
        <v>2021-10-31</v>
      </c>
      <c r="E127" s="3" t="d">
        <v>2022-10-31</v>
      </c>
      <c r="F127" s="2" t="s">
        <v>2</v>
      </c>
      <c r="G127" s="2">
        <v>259.2</v>
      </c>
      <c r="H127" s="2">
        <v>321</v>
      </c>
      <c r="I127" s="2">
        <v>23.84</v>
      </c>
    </row>
    <row r="128" spans="1:9" ht="20" customHeight="1" x14ac:dyDescent="0.2">
      <c r="A128" s="2">
        <f t="shared" si="2"/>
        <v>127</v>
      </c>
      <c r="B128" s="2" t="s">
        <v>180</v>
      </c>
      <c r="C128" s="2" t="s">
        <v>476</v>
      </c>
      <c r="D128" s="3" t="d">
        <v>2021-11-25</v>
      </c>
      <c r="E128" s="3" t="d">
        <v>2022-11-25</v>
      </c>
      <c r="F128" s="2" t="s">
        <v>2</v>
      </c>
      <c r="G128" s="2">
        <v>320.5</v>
      </c>
      <c r="H128" s="2">
        <v>410</v>
      </c>
      <c r="I128" s="2">
        <v>27.8</v>
      </c>
    </row>
    <row r="129" spans="1:9" ht="20" customHeight="1" x14ac:dyDescent="0.2">
      <c r="A129" s="2">
        <f t="shared" si="2"/>
        <v>128</v>
      </c>
      <c r="B129" s="2" t="s">
        <v>181</v>
      </c>
      <c r="C129" s="2" t="s">
        <v>477</v>
      </c>
      <c r="D129" s="3" t="d">
        <v>2021-11-29</v>
      </c>
      <c r="E129" s="3" t="d">
        <v>2022-11-29</v>
      </c>
      <c r="F129" s="2" t="s">
        <v>2</v>
      </c>
      <c r="G129" s="2">
        <v>310.5</v>
      </c>
      <c r="H129" s="2">
        <v>283</v>
      </c>
      <c r="I129" s="2">
        <v>-8.86</v>
      </c>
    </row>
    <row r="130" spans="1:9" ht="20" customHeight="1" x14ac:dyDescent="0.2">
      <c r="A130" s="2">
        <f t="shared" si="2"/>
        <v>129</v>
      </c>
      <c r="B130" s="2" t="s">
        <v>182</v>
      </c>
      <c r="C130" s="2" t="s">
        <v>478</v>
      </c>
      <c r="D130" s="3" t="d">
        <v>2021-12-26</v>
      </c>
      <c r="E130" s="3" t="d">
        <v>2022-12-26</v>
      </c>
      <c r="F130" s="2" t="s">
        <v>2</v>
      </c>
      <c r="G130" s="2">
        <v>110</v>
      </c>
      <c r="H130" s="2">
        <v>223</v>
      </c>
      <c r="I130" s="2">
        <v>102.73</v>
      </c>
    </row>
    <row r="131" spans="1:9" ht="20" customHeight="1" x14ac:dyDescent="0.2">
      <c r="A131" s="2">
        <f t="shared" si="2"/>
        <v>130</v>
      </c>
      <c r="B131" s="2" t="s">
        <v>183</v>
      </c>
      <c r="C131" s="2" t="s">
        <v>479</v>
      </c>
      <c r="D131" s="3" t="d">
        <v>2022-01-18</v>
      </c>
      <c r="E131" s="3" t="d">
        <v>2023-01-18</v>
      </c>
      <c r="F131" s="2" t="s">
        <v>2</v>
      </c>
      <c r="G131" s="2">
        <v>261.7</v>
      </c>
      <c r="H131" s="2">
        <v>428.9</v>
      </c>
      <c r="I131" s="2">
        <v>63.89</v>
      </c>
    </row>
    <row r="132" spans="1:9" ht="20" customHeight="1" x14ac:dyDescent="0.2">
      <c r="A132" s="2">
        <f t="shared" si="2"/>
        <v>131</v>
      </c>
      <c r="B132" s="2" t="s">
        <v>184</v>
      </c>
      <c r="C132" s="2" t="s">
        <v>480</v>
      </c>
      <c r="D132" s="3" t="d">
        <v>2022-01-19</v>
      </c>
      <c r="E132" s="3" t="d">
        <v>2023-01-19</v>
      </c>
      <c r="F132" s="2" t="s">
        <v>2</v>
      </c>
      <c r="G132" s="2">
        <v>831</v>
      </c>
      <c r="H132" s="2">
        <v>1086</v>
      </c>
      <c r="I132" s="2">
        <v>42.94</v>
      </c>
    </row>
    <row r="133" spans="1:9" ht="20" customHeight="1" x14ac:dyDescent="0.2">
      <c r="A133" s="2">
        <f t="shared" si="2"/>
        <v>132</v>
      </c>
      <c r="B133" s="2" t="s">
        <v>186</v>
      </c>
      <c r="C133" s="2" t="s">
        <v>481</v>
      </c>
      <c r="D133" s="3" t="d">
        <v>2022-03-06</v>
      </c>
      <c r="E133" s="3" t="d">
        <v>2023-03-06</v>
      </c>
      <c r="F133" s="2" t="s">
        <v>2</v>
      </c>
      <c r="G133" s="2">
        <v>287.10000000000002</v>
      </c>
      <c r="H133" s="2">
        <v>675</v>
      </c>
      <c r="I133" s="2">
        <v>122.22</v>
      </c>
    </row>
    <row r="134" spans="1:9" ht="20" customHeight="1" x14ac:dyDescent="0.2">
      <c r="A134" s="2">
        <f t="shared" si="2"/>
        <v>133</v>
      </c>
      <c r="B134" s="2" t="s">
        <v>187</v>
      </c>
      <c r="C134" s="2" t="s">
        <v>482</v>
      </c>
      <c r="D134" s="3" t="d">
        <v>2022-03-28</v>
      </c>
      <c r="E134" s="3" t="d">
        <v>2023-03-28</v>
      </c>
      <c r="F134" s="2" t="s">
        <v>2</v>
      </c>
      <c r="G134" s="2">
        <v>793.3</v>
      </c>
      <c r="H134" s="2">
        <v>2249.9</v>
      </c>
      <c r="I134" s="2">
        <v>183.61</v>
      </c>
    </row>
    <row r="135" spans="1:9" ht="20" customHeight="1" x14ac:dyDescent="0.2">
      <c r="A135" s="2">
        <f t="shared" si="2"/>
        <v>134</v>
      </c>
      <c r="B135" s="2" t="s">
        <v>188</v>
      </c>
      <c r="C135" s="2" t="s">
        <v>483</v>
      </c>
      <c r="D135" s="3" t="d">
        <v>2022-04-19</v>
      </c>
      <c r="E135" s="3" t="d">
        <v>2023-04-19</v>
      </c>
      <c r="F135" s="2" t="s">
        <v>2</v>
      </c>
      <c r="G135" s="2">
        <v>298.2</v>
      </c>
      <c r="H135" s="2">
        <v>411.8</v>
      </c>
      <c r="I135" s="2">
        <v>38.1</v>
      </c>
    </row>
    <row r="136" spans="1:9" ht="20" customHeight="1" x14ac:dyDescent="0.2">
      <c r="A136" s="2">
        <f t="shared" si="2"/>
        <v>135</v>
      </c>
      <c r="B136" s="2" t="s">
        <v>191</v>
      </c>
      <c r="C136" s="2" t="s">
        <v>484</v>
      </c>
      <c r="D136" s="3" t="d">
        <v>2022-05-25</v>
      </c>
      <c r="E136" s="3" t="d">
        <v>2023-05-25</v>
      </c>
      <c r="F136" s="2" t="s">
        <v>2</v>
      </c>
      <c r="G136" s="2">
        <v>110.9</v>
      </c>
      <c r="H136" s="2">
        <v>293.89999999999998</v>
      </c>
      <c r="I136" s="2">
        <v>169.52</v>
      </c>
    </row>
    <row r="137" spans="1:9" ht="20" customHeight="1" x14ac:dyDescent="0.2">
      <c r="A137" s="2">
        <f t="shared" si="2"/>
        <v>136</v>
      </c>
      <c r="B137" s="2" t="s">
        <v>192</v>
      </c>
      <c r="C137" s="2" t="s">
        <v>485</v>
      </c>
      <c r="D137" s="3" t="d">
        <v>2022-05-27</v>
      </c>
      <c r="E137" s="3" t="d">
        <v>2023-05-27</v>
      </c>
      <c r="F137" s="2" t="s">
        <v>2</v>
      </c>
      <c r="G137" s="2">
        <v>1259.9000000000001</v>
      </c>
      <c r="H137" s="2">
        <v>1351</v>
      </c>
      <c r="I137" s="2">
        <v>75.5</v>
      </c>
    </row>
    <row r="138" spans="1:9" ht="20" customHeight="1" x14ac:dyDescent="0.2">
      <c r="A138" s="2">
        <f t="shared" si="2"/>
        <v>137</v>
      </c>
      <c r="B138" s="2" t="s">
        <v>193</v>
      </c>
      <c r="C138" s="2" t="s">
        <v>486</v>
      </c>
      <c r="D138" s="3" t="d">
        <v>2022-06-13</v>
      </c>
      <c r="E138" s="3" t="d">
        <v>2023-06-13</v>
      </c>
      <c r="F138" s="2" t="s">
        <v>2</v>
      </c>
      <c r="G138" s="2">
        <v>382.2</v>
      </c>
      <c r="H138" s="2">
        <v>1289</v>
      </c>
      <c r="I138" s="2">
        <v>357.9</v>
      </c>
    </row>
    <row r="139" spans="1:9" ht="20" customHeight="1" x14ac:dyDescent="0.2">
      <c r="A139" s="2">
        <f t="shared" si="2"/>
        <v>138</v>
      </c>
      <c r="B139" s="2" t="s">
        <v>194</v>
      </c>
      <c r="C139" s="2" t="s">
        <v>487</v>
      </c>
      <c r="D139" s="3" t="d">
        <v>2022-06-16</v>
      </c>
      <c r="E139" s="3" t="d">
        <v>2023-06-16</v>
      </c>
      <c r="F139" s="2" t="s">
        <v>2</v>
      </c>
      <c r="G139" s="2">
        <v>290.2</v>
      </c>
      <c r="H139" s="2">
        <v>285</v>
      </c>
      <c r="I139" s="2">
        <v>-2.79</v>
      </c>
    </row>
    <row r="140" spans="1:9" ht="20" customHeight="1" x14ac:dyDescent="0.2">
      <c r="A140" s="2">
        <f t="shared" si="2"/>
        <v>139</v>
      </c>
      <c r="B140" s="2" t="s">
        <v>195</v>
      </c>
      <c r="C140" s="2" t="s">
        <v>488</v>
      </c>
      <c r="D140" s="3" t="d">
        <v>2022-07-14</v>
      </c>
      <c r="E140" s="3" t="d">
        <v>2023-07-14</v>
      </c>
      <c r="F140" s="2" t="s">
        <v>2</v>
      </c>
      <c r="G140" s="2">
        <v>315</v>
      </c>
      <c r="H140" s="2">
        <v>245</v>
      </c>
      <c r="I140" s="2">
        <v>-21.62</v>
      </c>
    </row>
    <row r="141" spans="1:9" ht="20" customHeight="1" x14ac:dyDescent="0.2">
      <c r="A141" s="2">
        <f t="shared" si="2"/>
        <v>140</v>
      </c>
      <c r="B141" s="2" t="s">
        <v>198</v>
      </c>
      <c r="C141" s="2" t="s">
        <v>489</v>
      </c>
      <c r="D141" s="3" t="d">
        <v>2022-07-27</v>
      </c>
      <c r="E141" s="3" t="d">
        <v>2023-07-27</v>
      </c>
      <c r="F141" s="2" t="s">
        <v>2</v>
      </c>
      <c r="G141" s="2">
        <v>9</v>
      </c>
      <c r="H141" s="2">
        <v>9.3000000000000007</v>
      </c>
      <c r="I141" s="2">
        <v>3.33</v>
      </c>
    </row>
    <row r="142" spans="1:9" ht="20" customHeight="1" x14ac:dyDescent="0.2">
      <c r="A142" s="10">
        <f t="shared" si="2"/>
        <v>141</v>
      </c>
      <c r="B142" s="10" t="s">
        <v>199</v>
      </c>
      <c r="C142" s="10" t="s">
        <v>490</v>
      </c>
      <c r="D142" s="11" t="d">
        <v>2022-07-28</v>
      </c>
      <c r="E142" s="11" t="d">
        <v>2023-07-28</v>
      </c>
      <c r="F142" s="10" t="s">
        <v>2</v>
      </c>
      <c r="G142" s="10">
        <v>367.4</v>
      </c>
      <c r="H142" s="10">
        <v>358.6</v>
      </c>
      <c r="I142" s="10">
        <v>4.04</v>
      </c>
    </row>
    <row r="143" spans="1:9" ht="20" customHeight="1" x14ac:dyDescent="0.2">
      <c r="A143" s="2">
        <f>ROW()-1</f>
        <v>142</v>
      </c>
      <c r="B143" s="2" t="s">
        <v>200</v>
      </c>
      <c r="C143" s="2" t="s">
        <v>491</v>
      </c>
      <c r="D143" s="3" t="d">
        <v>2022-08-08</v>
      </c>
      <c r="E143" s="3" t="d">
        <v>2023-08-08</v>
      </c>
      <c r="F143" s="2" t="s">
        <v>2</v>
      </c>
      <c r="G143" s="2">
        <v>250.8</v>
      </c>
      <c r="H143" s="2">
        <v>219.8</v>
      </c>
      <c r="I143" s="2">
        <v>-12.36</v>
      </c>
    </row>
    <row r="144" spans="1:9" ht="20" customHeight="1" x14ac:dyDescent="0.2">
      <c r="A144" s="12">
        <f t="shared" si="2"/>
        <v>143</v>
      </c>
      <c r="B144" s="12" t="s">
        <v>201</v>
      </c>
      <c r="C144" s="12" t="s">
        <v>492</v>
      </c>
      <c r="D144" s="13" t="d">
        <v>2022-08-10</v>
      </c>
      <c r="E144" s="13" t="d">
        <v>2023-08-10</v>
      </c>
      <c r="F144" s="12" t="s">
        <v>2</v>
      </c>
      <c r="G144" s="12">
        <v>459.5</v>
      </c>
      <c r="H144" s="12">
        <v>598</v>
      </c>
      <c r="I144" s="12">
        <v>33.75</v>
      </c>
    </row>
    <row r="145" spans="1:9" ht="20" customHeight="1" x14ac:dyDescent="0.2">
      <c r="A145" s="2">
        <f t="shared" si="2"/>
        <v>144</v>
      </c>
      <c r="B145" s="2" t="s">
        <v>202</v>
      </c>
      <c r="C145" s="2" t="s">
        <v>493</v>
      </c>
      <c r="D145" s="3" t="d">
        <v>2022-08-11</v>
      </c>
      <c r="E145" s="3" t="d">
        <v>2023-08-11</v>
      </c>
      <c r="F145" s="2" t="s">
        <v>2</v>
      </c>
      <c r="G145" s="2">
        <v>143.19999999999999</v>
      </c>
      <c r="H145" s="2">
        <v>307.8</v>
      </c>
      <c r="I145" s="2">
        <v>116.2</v>
      </c>
    </row>
    <row r="146" spans="1:9" ht="20" customHeight="1" x14ac:dyDescent="0.2">
      <c r="A146" s="2">
        <f t="shared" si="2"/>
        <v>145</v>
      </c>
      <c r="B146" s="2" t="s">
        <v>203</v>
      </c>
      <c r="C146" s="2" t="s">
        <v>494</v>
      </c>
      <c r="D146" s="3" t="d">
        <v>2022-08-15</v>
      </c>
      <c r="E146" s="3" t="d">
        <v>2023-08-15</v>
      </c>
      <c r="F146" s="2" t="s">
        <v>2</v>
      </c>
      <c r="G146" s="2">
        <v>637.79999999999995</v>
      </c>
      <c r="H146" s="2">
        <v>211.2</v>
      </c>
      <c r="I146" s="2">
        <v>-53.31</v>
      </c>
    </row>
    <row r="147" spans="1:9" ht="20" customHeight="1" x14ac:dyDescent="0.2">
      <c r="A147" s="2">
        <f t="shared" si="2"/>
        <v>146</v>
      </c>
      <c r="B147" s="2" t="s">
        <v>204</v>
      </c>
      <c r="C147" s="2" t="s">
        <v>495</v>
      </c>
      <c r="D147" s="3" t="d">
        <v>2022-08-17</v>
      </c>
      <c r="E147" s="3" t="d">
        <v>2023-08-17</v>
      </c>
      <c r="F147" s="2" t="s">
        <v>2</v>
      </c>
      <c r="G147" s="2">
        <v>261</v>
      </c>
      <c r="H147" s="2">
        <v>279.89999999999998</v>
      </c>
      <c r="I147" s="2">
        <v>9.16</v>
      </c>
    </row>
    <row r="148" spans="1:9" ht="20" customHeight="1" x14ac:dyDescent="0.2">
      <c r="A148" s="2">
        <f t="shared" si="2"/>
        <v>147</v>
      </c>
      <c r="B148" s="2" t="s">
        <v>205</v>
      </c>
      <c r="C148" s="2" t="s">
        <v>496</v>
      </c>
      <c r="D148" s="3" t="d">
        <v>2022-08-17</v>
      </c>
      <c r="E148" s="3" t="d">
        <v>2023-08-17</v>
      </c>
      <c r="F148" s="2" t="s">
        <v>2</v>
      </c>
      <c r="G148" s="2">
        <v>295.89999999999998</v>
      </c>
      <c r="H148" s="2">
        <v>223.6</v>
      </c>
      <c r="I148" s="2">
        <v>-24.43</v>
      </c>
    </row>
    <row r="149" spans="1:9" ht="20" customHeight="1" x14ac:dyDescent="0.2">
      <c r="A149" s="2">
        <f t="shared" si="2"/>
        <v>148</v>
      </c>
      <c r="B149" s="2" t="s">
        <v>206</v>
      </c>
      <c r="C149" s="2" t="s">
        <v>497</v>
      </c>
      <c r="D149" s="3" t="d">
        <v>2022-08-17</v>
      </c>
      <c r="E149" s="3" t="d">
        <v>2023-08-17</v>
      </c>
      <c r="F149" s="2" t="s">
        <v>2</v>
      </c>
      <c r="G149" s="2">
        <v>357</v>
      </c>
      <c r="H149" s="2">
        <v>235.8</v>
      </c>
      <c r="I149" s="2">
        <v>-33.950000000000003</v>
      </c>
    </row>
    <row r="150" spans="1:9" ht="20" customHeight="1" x14ac:dyDescent="0.2">
      <c r="A150" s="2">
        <f t="shared" si="2"/>
        <v>149</v>
      </c>
      <c r="B150" s="2" t="s">
        <v>210</v>
      </c>
      <c r="C150" s="2" t="s">
        <v>498</v>
      </c>
      <c r="D150" s="3" t="d">
        <v>2022-08-31</v>
      </c>
      <c r="E150" s="3" t="d">
        <v>2023-08-31</v>
      </c>
      <c r="F150" s="2" t="s">
        <v>2</v>
      </c>
      <c r="G150" s="2">
        <v>322.10000000000002</v>
      </c>
      <c r="H150" s="2">
        <v>204</v>
      </c>
      <c r="I150" s="2">
        <v>-36.04</v>
      </c>
    </row>
    <row r="151" spans="1:9" ht="20" customHeight="1" x14ac:dyDescent="0.2">
      <c r="A151" s="2">
        <f t="shared" si="2"/>
        <v>150</v>
      </c>
      <c r="B151" s="2" t="s">
        <v>212</v>
      </c>
      <c r="C151" s="2" t="s">
        <v>500</v>
      </c>
      <c r="D151" s="3" t="d">
        <v>2022-09-25</v>
      </c>
      <c r="E151" s="3" t="d">
        <v>2023-09-25</v>
      </c>
      <c r="F151" s="2" t="s">
        <v>2</v>
      </c>
      <c r="G151" s="2">
        <v>347.6</v>
      </c>
      <c r="H151" s="2">
        <v>673</v>
      </c>
      <c r="I151" s="2">
        <v>93.61</v>
      </c>
    </row>
    <row r="152" spans="1:9" ht="20" customHeight="1" x14ac:dyDescent="0.2">
      <c r="A152" s="2">
        <f t="shared" si="2"/>
        <v>151</v>
      </c>
      <c r="B152" s="2" t="s">
        <v>214</v>
      </c>
      <c r="C152" s="2" t="s">
        <v>501</v>
      </c>
      <c r="D152" s="3" t="d">
        <v>2022-10-16</v>
      </c>
      <c r="E152" s="3" t="d">
        <v>2023-10-16</v>
      </c>
      <c r="F152" s="2" t="s">
        <v>2</v>
      </c>
      <c r="G152" s="2">
        <v>255.7</v>
      </c>
      <c r="H152" s="2">
        <v>214</v>
      </c>
      <c r="I152" s="2">
        <v>-16.309999999999999</v>
      </c>
    </row>
    <row r="153" spans="1:9" ht="20" customHeight="1" x14ac:dyDescent="0.2">
      <c r="A153" s="2">
        <f t="shared" si="2"/>
        <v>152</v>
      </c>
      <c r="B153" s="2" t="s">
        <v>216</v>
      </c>
      <c r="C153" s="2" t="s">
        <v>502</v>
      </c>
      <c r="D153" s="3" t="d">
        <v>2022-10-17</v>
      </c>
      <c r="E153" s="3" t="d">
        <v>2023-10-17</v>
      </c>
      <c r="F153" s="2" t="s">
        <v>2</v>
      </c>
      <c r="G153" s="2">
        <v>214.2</v>
      </c>
      <c r="H153" s="2">
        <v>516.1</v>
      </c>
      <c r="I153" s="2">
        <v>140.94</v>
      </c>
    </row>
    <row r="154" spans="1:9" ht="20" customHeight="1" x14ac:dyDescent="0.2">
      <c r="A154" s="2">
        <f t="shared" si="2"/>
        <v>153</v>
      </c>
      <c r="B154" s="2" t="s">
        <v>217</v>
      </c>
      <c r="C154" s="2" t="s">
        <v>503</v>
      </c>
      <c r="D154" s="3" t="d">
        <v>2022-10-23</v>
      </c>
      <c r="E154" s="3" t="d">
        <v>2023-10-23</v>
      </c>
      <c r="F154" s="2" t="s">
        <v>2</v>
      </c>
      <c r="G154" s="2">
        <v>179.7</v>
      </c>
      <c r="H154" s="2">
        <v>618</v>
      </c>
      <c r="I154" s="2">
        <v>250.58</v>
      </c>
    </row>
    <row r="155" spans="1:9" ht="20" customHeight="1" x14ac:dyDescent="0.2">
      <c r="A155" s="2">
        <f t="shared" si="2"/>
        <v>154</v>
      </c>
      <c r="B155" s="2" t="s">
        <v>218</v>
      </c>
      <c r="C155" s="2" t="s">
        <v>504</v>
      </c>
      <c r="D155" s="3" t="d">
        <v>2022-11-15</v>
      </c>
      <c r="E155" s="3" t="d">
        <v>2023-11-15</v>
      </c>
      <c r="F155" s="2" t="s">
        <v>2</v>
      </c>
      <c r="G155" s="2">
        <v>321</v>
      </c>
      <c r="H155" s="2">
        <v>345.3</v>
      </c>
      <c r="I155" s="2">
        <v>8.26</v>
      </c>
    </row>
    <row r="156" spans="1:9" ht="20" customHeight="1" x14ac:dyDescent="0.2">
      <c r="A156" s="2">
        <f t="shared" si="2"/>
        <v>155</v>
      </c>
      <c r="B156" s="2" t="s">
        <v>220</v>
      </c>
      <c r="C156" s="2" t="s">
        <v>505</v>
      </c>
      <c r="D156" s="3" t="d">
        <v>2022-12-14</v>
      </c>
      <c r="E156" s="3" t="d">
        <v>2023-12-14</v>
      </c>
      <c r="F156" s="2" t="s">
        <v>2</v>
      </c>
      <c r="G156" s="2">
        <v>237.6</v>
      </c>
      <c r="H156" s="2">
        <v>348</v>
      </c>
      <c r="I156" s="2">
        <v>46.46</v>
      </c>
    </row>
    <row r="157" spans="1:9" ht="20" customHeight="1" x14ac:dyDescent="0.2">
      <c r="A157" s="2">
        <f t="shared" si="2"/>
        <v>156</v>
      </c>
      <c r="B157" s="2" t="s">
        <v>221</v>
      </c>
      <c r="C157" s="2" t="s">
        <v>506</v>
      </c>
      <c r="D157" s="3" t="d">
        <v>2022-12-14</v>
      </c>
      <c r="E157" s="3" t="d">
        <v>2023-12-14</v>
      </c>
      <c r="F157" s="2" t="s">
        <v>2</v>
      </c>
      <c r="G157" s="2">
        <v>270</v>
      </c>
      <c r="H157" s="2">
        <v>269.3</v>
      </c>
      <c r="I157" s="2">
        <v>-0.26</v>
      </c>
    </row>
    <row r="158" spans="1:9" ht="20" customHeight="1" x14ac:dyDescent="0.2">
      <c r="A158" s="2">
        <f t="shared" si="2"/>
        <v>157</v>
      </c>
      <c r="B158" s="2" t="s">
        <v>222</v>
      </c>
      <c r="C158" s="2" t="s">
        <v>507</v>
      </c>
      <c r="D158" s="3" t="d">
        <v>2022-12-20</v>
      </c>
      <c r="E158" s="3" t="d">
        <v>2023-12-20</v>
      </c>
      <c r="F158" s="2" t="s">
        <v>2</v>
      </c>
      <c r="G158" s="2">
        <v>996.6</v>
      </c>
      <c r="H158" s="2">
        <v>1031</v>
      </c>
      <c r="I158" s="2">
        <v>3.45</v>
      </c>
    </row>
    <row r="159" spans="1:9" ht="20" customHeight="1" x14ac:dyDescent="0.2">
      <c r="A159" s="2">
        <f t="shared" si="2"/>
        <v>158</v>
      </c>
      <c r="B159" s="2" t="s">
        <v>223</v>
      </c>
      <c r="C159" s="2" t="s">
        <v>508</v>
      </c>
      <c r="D159" s="3" t="d">
        <v>2023-01-04</v>
      </c>
      <c r="E159" s="3" t="d">
        <v>2024-01-04</v>
      </c>
      <c r="F159" s="2" t="s">
        <v>2</v>
      </c>
      <c r="G159" s="2">
        <v>213.7</v>
      </c>
      <c r="H159" s="2">
        <v>443</v>
      </c>
      <c r="I159" s="2">
        <v>107.3</v>
      </c>
    </row>
    <row r="160" spans="1:9" ht="20" customHeight="1" x14ac:dyDescent="0.2">
      <c r="A160" s="2">
        <f t="shared" si="2"/>
        <v>159</v>
      </c>
      <c r="B160" s="2" t="s">
        <v>224</v>
      </c>
      <c r="C160" s="2" t="s">
        <v>509</v>
      </c>
      <c r="D160" s="3" t="d">
        <v>2023-01-23</v>
      </c>
      <c r="E160" s="3" t="d">
        <v>2024-01-23</v>
      </c>
      <c r="F160" s="2" t="s">
        <v>2</v>
      </c>
      <c r="G160" s="2">
        <v>404.2</v>
      </c>
      <c r="H160" s="2">
        <v>549.9</v>
      </c>
      <c r="I160" s="2">
        <v>36.049999999999997</v>
      </c>
    </row>
    <row r="161" spans="1:9" ht="20" customHeight="1" x14ac:dyDescent="0.2">
      <c r="A161" s="10">
        <f t="shared" si="2"/>
        <v>160</v>
      </c>
      <c r="B161" s="10" t="s">
        <v>225</v>
      </c>
      <c r="C161" s="10" t="s">
        <v>510</v>
      </c>
      <c r="D161" s="11" t="d">
        <v>2023-01-25</v>
      </c>
      <c r="E161" s="11" t="d">
        <v>2024-01-25</v>
      </c>
      <c r="F161" s="10" t="s">
        <v>2</v>
      </c>
      <c r="G161" s="10">
        <v>408.7</v>
      </c>
      <c r="H161" s="10">
        <v>512</v>
      </c>
      <c r="I161" s="10">
        <v>25.28</v>
      </c>
    </row>
    <row r="162" spans="1:9" ht="20" customHeight="1" x14ac:dyDescent="0.2">
      <c r="A162" s="2">
        <f>ROW()-1</f>
        <v>161</v>
      </c>
      <c r="B162" s="2" t="s">
        <v>226</v>
      </c>
      <c r="C162" s="2" t="s">
        <v>511</v>
      </c>
      <c r="D162" s="3" t="d">
        <v>2023-02-23</v>
      </c>
      <c r="E162" s="3" t="d">
        <v>2024-02-23</v>
      </c>
      <c r="F162" s="2" t="s">
        <v>2</v>
      </c>
      <c r="G162" s="2">
        <v>216</v>
      </c>
      <c r="H162" s="2">
        <v>163.9</v>
      </c>
      <c r="I162" s="2">
        <v>-23.15</v>
      </c>
    </row>
    <row r="163" spans="1:9" ht="20" customHeight="1" x14ac:dyDescent="0.2">
      <c r="A163" s="12">
        <f t="shared" si="2"/>
        <v>162</v>
      </c>
      <c r="B163" s="12" t="s">
        <v>227</v>
      </c>
      <c r="C163" s="12" t="s">
        <v>512</v>
      </c>
      <c r="D163" s="13" t="d">
        <v>2023-02-28</v>
      </c>
      <c r="E163" s="13" t="d">
        <v>2024-02-28</v>
      </c>
      <c r="F163" s="12" t="s">
        <v>2</v>
      </c>
      <c r="G163" s="12">
        <v>989.4</v>
      </c>
      <c r="H163" s="12">
        <v>1222.3</v>
      </c>
      <c r="I163" s="12">
        <v>23.54</v>
      </c>
    </row>
    <row r="164" spans="1:9" ht="20" customHeight="1" x14ac:dyDescent="0.2">
      <c r="A164" s="2">
        <f t="shared" si="2"/>
        <v>163</v>
      </c>
      <c r="B164" s="2" t="s">
        <v>228</v>
      </c>
      <c r="C164" s="2" t="s">
        <v>513</v>
      </c>
      <c r="D164" s="3" t="d">
        <v>2023-03-05</v>
      </c>
      <c r="E164" s="3" t="d">
        <v>2024-03-05</v>
      </c>
      <c r="F164" s="2" t="s">
        <v>2</v>
      </c>
      <c r="G164" s="2">
        <v>328.9</v>
      </c>
      <c r="H164" s="2">
        <v>445.2</v>
      </c>
      <c r="I164" s="2">
        <v>35.97</v>
      </c>
    </row>
    <row r="165" spans="1:9" ht="20" customHeight="1" x14ac:dyDescent="0.2">
      <c r="A165" s="2">
        <f t="shared" si="2"/>
        <v>164</v>
      </c>
      <c r="B165" s="2" t="s">
        <v>229</v>
      </c>
      <c r="C165" s="2" t="s">
        <v>514</v>
      </c>
      <c r="D165" s="3" t="d">
        <v>2023-03-07</v>
      </c>
      <c r="E165" s="3" t="d">
        <v>2024-03-07</v>
      </c>
      <c r="F165" s="2" t="s">
        <v>2</v>
      </c>
      <c r="G165" s="2">
        <v>291.5</v>
      </c>
      <c r="H165" s="2">
        <v>664</v>
      </c>
      <c r="I165" s="2">
        <v>127.79</v>
      </c>
    </row>
    <row r="166" spans="1:9" ht="20" customHeight="1" x14ac:dyDescent="0.2">
      <c r="A166" s="2">
        <f t="shared" si="2"/>
        <v>165</v>
      </c>
      <c r="B166" s="2" t="s">
        <v>232</v>
      </c>
      <c r="C166" s="2" t="s">
        <v>515</v>
      </c>
      <c r="D166" s="3" t="d">
        <v>2023-03-22</v>
      </c>
      <c r="E166" s="3" t="d">
        <v>2024-03-22</v>
      </c>
      <c r="F166" s="2" t="s">
        <v>2</v>
      </c>
      <c r="G166" s="2">
        <v>292</v>
      </c>
      <c r="H166" s="2">
        <v>290</v>
      </c>
      <c r="I166" s="2">
        <v>-2.0499999999999998</v>
      </c>
    </row>
    <row r="167" spans="1:9" ht="20" customHeight="1" x14ac:dyDescent="0.2">
      <c r="A167" s="2">
        <f t="shared" si="2"/>
        <v>166</v>
      </c>
      <c r="B167" s="2" t="s">
        <v>233</v>
      </c>
      <c r="C167" s="2" t="s">
        <v>516</v>
      </c>
      <c r="D167" s="3" t="d">
        <v>2023-03-23</v>
      </c>
      <c r="E167" s="3" t="d">
        <v>2024-03-23</v>
      </c>
      <c r="F167" s="2" t="s">
        <v>2</v>
      </c>
      <c r="G167" s="2">
        <v>139.69999999999999</v>
      </c>
      <c r="H167" s="2">
        <v>775</v>
      </c>
      <c r="I167" s="2">
        <v>465.5</v>
      </c>
    </row>
    <row r="168" spans="1:9" ht="20" customHeight="1" x14ac:dyDescent="0.2">
      <c r="A168" s="2">
        <f t="shared" si="2"/>
        <v>167</v>
      </c>
      <c r="B168" s="2" t="s">
        <v>234</v>
      </c>
      <c r="C168" s="2" t="s">
        <v>517</v>
      </c>
      <c r="D168" s="3" t="d">
        <v>2023-03-23</v>
      </c>
      <c r="E168" s="3" t="d">
        <v>2024-03-23</v>
      </c>
      <c r="F168" s="2" t="s">
        <v>2</v>
      </c>
      <c r="G168" s="2">
        <v>328.6</v>
      </c>
      <c r="H168" s="2">
        <v>427</v>
      </c>
      <c r="I168" s="2">
        <v>32.99</v>
      </c>
    </row>
    <row r="169" spans="1:9" ht="20" customHeight="1" x14ac:dyDescent="0.2">
      <c r="A169" s="2">
        <f t="shared" si="2"/>
        <v>168</v>
      </c>
      <c r="B169" s="2" t="s">
        <v>235</v>
      </c>
      <c r="C169" s="2" t="s">
        <v>518</v>
      </c>
      <c r="D169" s="3" t="d">
        <v>2023-03-27</v>
      </c>
      <c r="E169" s="3" t="d">
        <v>2024-03-27</v>
      </c>
      <c r="F169" s="2" t="s">
        <v>2</v>
      </c>
      <c r="G169" s="2">
        <v>430.1</v>
      </c>
      <c r="H169" s="2">
        <v>678</v>
      </c>
      <c r="I169" s="2">
        <v>57.64</v>
      </c>
    </row>
    <row r="170" spans="1:9" ht="20" customHeight="1" x14ac:dyDescent="0.2">
      <c r="A170" s="2">
        <f t="shared" si="2"/>
        <v>169</v>
      </c>
      <c r="B170" s="2" t="s">
        <v>237</v>
      </c>
      <c r="C170" s="2" t="s">
        <v>519</v>
      </c>
      <c r="D170" s="3" t="d">
        <v>2023-04-04</v>
      </c>
      <c r="E170" s="3" t="d">
        <v>2024-04-04</v>
      </c>
      <c r="F170" s="2" t="s">
        <v>2</v>
      </c>
      <c r="G170" s="2">
        <v>573.9</v>
      </c>
      <c r="H170" s="2">
        <v>737.9</v>
      </c>
      <c r="I170" s="2">
        <v>30.49</v>
      </c>
    </row>
    <row r="171" spans="1:9" ht="20" customHeight="1" x14ac:dyDescent="0.2">
      <c r="A171" s="2">
        <f t="shared" si="2"/>
        <v>170</v>
      </c>
      <c r="B171" s="2" t="s">
        <v>238</v>
      </c>
      <c r="C171" s="2" t="s">
        <v>520</v>
      </c>
      <c r="D171" s="3" t="d">
        <v>2023-04-10</v>
      </c>
      <c r="E171" s="3" t="d">
        <v>2024-04-10</v>
      </c>
      <c r="F171" s="2" t="s">
        <v>2</v>
      </c>
      <c r="G171" s="2">
        <v>324.5</v>
      </c>
      <c r="H171" s="2">
        <v>384.3</v>
      </c>
      <c r="I171" s="2">
        <v>18.43</v>
      </c>
    </row>
    <row r="172" spans="1:9" ht="20" customHeight="1" x14ac:dyDescent="0.2">
      <c r="A172" s="2">
        <f t="shared" si="2"/>
        <v>171</v>
      </c>
      <c r="B172" s="2" t="s">
        <v>239</v>
      </c>
      <c r="C172" s="2" t="s">
        <v>521</v>
      </c>
      <c r="D172" s="3" t="d">
        <v>2023-04-13</v>
      </c>
      <c r="E172" s="3" t="d">
        <v>2024-04-13</v>
      </c>
      <c r="F172" s="2" t="s">
        <v>2</v>
      </c>
      <c r="G172" s="2">
        <v>155.1</v>
      </c>
      <c r="H172" s="2">
        <v>417</v>
      </c>
      <c r="I172" s="2">
        <v>173.37</v>
      </c>
    </row>
    <row r="173" spans="1:9" ht="20" customHeight="1" x14ac:dyDescent="0.2">
      <c r="A173" s="2">
        <f t="shared" si="2"/>
        <v>172</v>
      </c>
      <c r="B173" s="2" t="s">
        <v>240</v>
      </c>
      <c r="C173" s="2" t="s">
        <v>522</v>
      </c>
      <c r="D173" s="3" t="d">
        <v>2023-04-13</v>
      </c>
      <c r="E173" s="3" t="d">
        <v>2024-04-13</v>
      </c>
      <c r="F173" s="2" t="s">
        <v>2</v>
      </c>
      <c r="G173" s="2">
        <v>340</v>
      </c>
      <c r="H173" s="2">
        <v>387.9</v>
      </c>
      <c r="I173" s="2">
        <v>12.94</v>
      </c>
    </row>
    <row r="174" spans="1:9" ht="20" customHeight="1" x14ac:dyDescent="0.2">
      <c r="A174" s="2">
        <f t="shared" si="2"/>
        <v>173</v>
      </c>
      <c r="B174" s="2" t="s">
        <v>243</v>
      </c>
      <c r="C174" s="2" t="s">
        <v>523</v>
      </c>
      <c r="D174" s="3" t="d">
        <v>2023-05-02</v>
      </c>
      <c r="E174" s="3" t="d">
        <v>2024-05-02</v>
      </c>
      <c r="F174" s="2" t="s">
        <v>2</v>
      </c>
      <c r="G174" s="2">
        <v>436.9</v>
      </c>
      <c r="H174" s="2">
        <v>1997</v>
      </c>
      <c r="I174" s="2">
        <v>403.94</v>
      </c>
    </row>
    <row r="175" spans="1:9" ht="20" customHeight="1" x14ac:dyDescent="0.2">
      <c r="A175" s="2">
        <f t="shared" si="2"/>
        <v>174</v>
      </c>
      <c r="B175" s="2" t="s">
        <v>244</v>
      </c>
      <c r="C175" s="2" t="s">
        <v>524</v>
      </c>
      <c r="D175" s="3" t="d">
        <v>2023-05-07</v>
      </c>
      <c r="E175" s="3" t="d">
        <v>2024-05-07</v>
      </c>
      <c r="F175" s="2" t="s">
        <v>2</v>
      </c>
      <c r="G175" s="2">
        <v>255</v>
      </c>
      <c r="H175" s="2">
        <v>351.9</v>
      </c>
      <c r="I175" s="2">
        <v>38</v>
      </c>
    </row>
    <row r="176" spans="1:9" ht="20" customHeight="1" x14ac:dyDescent="0.2">
      <c r="A176" s="2">
        <f t="shared" si="2"/>
        <v>175</v>
      </c>
      <c r="B176" s="2" t="s">
        <v>245</v>
      </c>
      <c r="C176" s="2" t="s">
        <v>525</v>
      </c>
      <c r="D176" s="3" t="d">
        <v>2023-05-15</v>
      </c>
      <c r="E176" s="3" t="d">
        <v>2024-05-15</v>
      </c>
      <c r="F176" s="2" t="s">
        <v>2</v>
      </c>
      <c r="G176" s="2">
        <v>560.5</v>
      </c>
      <c r="H176" s="2">
        <v>692.2</v>
      </c>
      <c r="I176" s="2">
        <v>24.39</v>
      </c>
    </row>
    <row r="177" spans="1:9" ht="20" customHeight="1" x14ac:dyDescent="0.2">
      <c r="A177" s="2">
        <f t="shared" si="2"/>
        <v>176</v>
      </c>
      <c r="B177" s="2" t="s">
        <v>246</v>
      </c>
      <c r="C177" s="2" t="s">
        <v>526</v>
      </c>
      <c r="D177" s="3" t="d">
        <v>2023-05-16</v>
      </c>
      <c r="E177" s="3" t="d">
        <v>2024-05-16</v>
      </c>
      <c r="F177" s="2" t="s">
        <v>2</v>
      </c>
      <c r="G177" s="2">
        <v>301.5</v>
      </c>
      <c r="H177" s="2">
        <v>408</v>
      </c>
      <c r="I177" s="2">
        <v>35.32</v>
      </c>
    </row>
    <row r="178" spans="1:9" ht="20" customHeight="1" x14ac:dyDescent="0.2">
      <c r="A178" s="2">
        <f t="shared" si="2"/>
        <v>177</v>
      </c>
      <c r="B178" s="2" t="s">
        <v>247</v>
      </c>
      <c r="C178" s="2" t="s">
        <v>527</v>
      </c>
      <c r="D178" s="3" t="d">
        <v>2023-05-21</v>
      </c>
      <c r="E178" s="3" t="d">
        <v>2024-05-21</v>
      </c>
      <c r="F178" s="2" t="s">
        <v>2</v>
      </c>
      <c r="G178" s="2">
        <v>404.8</v>
      </c>
      <c r="H178" s="2">
        <v>456</v>
      </c>
      <c r="I178" s="2">
        <v>12.65</v>
      </c>
    </row>
    <row r="179" spans="1:9" ht="20" customHeight="1" x14ac:dyDescent="0.2">
      <c r="A179" s="2">
        <f t="shared" si="2"/>
        <v>178</v>
      </c>
      <c r="B179" s="2" t="s">
        <v>248</v>
      </c>
      <c r="C179" s="2" t="s">
        <v>528</v>
      </c>
      <c r="D179" s="3" t="d">
        <v>2023-06-04</v>
      </c>
      <c r="E179" s="3" t="d">
        <v>2024-06-04</v>
      </c>
      <c r="F179" s="2" t="s">
        <v>2</v>
      </c>
      <c r="G179" s="2">
        <v>407.9</v>
      </c>
      <c r="H179" s="2">
        <v>530</v>
      </c>
      <c r="I179" s="2">
        <v>29.93</v>
      </c>
    </row>
    <row r="180" spans="1:9" ht="20" customHeight="1" x14ac:dyDescent="0.2">
      <c r="A180" s="2">
        <f t="shared" si="2"/>
        <v>179</v>
      </c>
      <c r="B180" s="2" t="s">
        <v>249</v>
      </c>
      <c r="C180" s="2" t="s">
        <v>529</v>
      </c>
      <c r="D180" s="3" t="d">
        <v>2023-06-08</v>
      </c>
      <c r="E180" s="3" t="d">
        <v>2024-06-08</v>
      </c>
      <c r="F180" s="2" t="s">
        <v>2</v>
      </c>
      <c r="G180" s="2">
        <v>223</v>
      </c>
      <c r="H180" s="2">
        <v>421</v>
      </c>
      <c r="I180" s="2">
        <v>78.03</v>
      </c>
    </row>
    <row r="181" spans="1:9" ht="20" customHeight="1" x14ac:dyDescent="0.2">
      <c r="A181" s="2">
        <f t="shared" si="2"/>
        <v>180</v>
      </c>
      <c r="B181" s="2" t="s">
        <v>250</v>
      </c>
      <c r="C181" s="2" t="s">
        <v>530</v>
      </c>
      <c r="D181" s="3" t="d">
        <v>2023-06-08</v>
      </c>
      <c r="E181" s="3" t="d">
        <v>2024-06-08</v>
      </c>
      <c r="F181" s="2" t="s">
        <v>2</v>
      </c>
      <c r="G181" s="2">
        <v>287.10000000000002</v>
      </c>
      <c r="H181" s="2">
        <v>433</v>
      </c>
      <c r="I181" s="2">
        <v>49.77</v>
      </c>
    </row>
    <row r="182" spans="1:9" ht="20" customHeight="1" x14ac:dyDescent="0.2">
      <c r="A182" s="2">
        <f t="shared" si="2"/>
        <v>181</v>
      </c>
      <c r="B182" s="2" t="s">
        <v>252</v>
      </c>
      <c r="C182" s="2" t="s">
        <v>531</v>
      </c>
      <c r="D182" s="3" t="d">
        <v>2023-06-11</v>
      </c>
      <c r="E182" s="3" t="d">
        <v>2024-06-11</v>
      </c>
      <c r="F182" s="2" t="s">
        <v>2</v>
      </c>
      <c r="G182" s="2">
        <v>122.2</v>
      </c>
      <c r="H182" s="2">
        <v>698</v>
      </c>
      <c r="I182" s="2">
        <v>471.19</v>
      </c>
    </row>
    <row r="183" spans="1:9" ht="20" customHeight="1" x14ac:dyDescent="0.2">
      <c r="A183" s="2">
        <f t="shared" si="2"/>
        <v>182</v>
      </c>
      <c r="B183" s="2" t="s">
        <v>253</v>
      </c>
      <c r="C183" s="2" t="s">
        <v>532</v>
      </c>
      <c r="D183" s="3" t="d">
        <v>2023-06-18</v>
      </c>
      <c r="E183" s="3" t="d">
        <v>2024-06-18</v>
      </c>
      <c r="F183" s="2" t="s">
        <v>2</v>
      </c>
      <c r="G183" s="2">
        <v>255.2</v>
      </c>
      <c r="H183" s="2">
        <v>415.3</v>
      </c>
      <c r="I183" s="2">
        <v>62.74</v>
      </c>
    </row>
    <row r="184" spans="1:9" ht="20" customHeight="1" x14ac:dyDescent="0.2">
      <c r="A184" s="2">
        <f t="shared" si="2"/>
        <v>183</v>
      </c>
      <c r="B184" s="2" t="s">
        <v>254</v>
      </c>
      <c r="C184" s="2" t="s">
        <v>533</v>
      </c>
      <c r="D184" s="3" t="d">
        <v>2023-06-20</v>
      </c>
      <c r="E184" s="3" t="d">
        <v>2024-06-20</v>
      </c>
      <c r="F184" s="2" t="s">
        <v>2</v>
      </c>
      <c r="G184" s="2">
        <v>320.89999999999998</v>
      </c>
      <c r="H184" s="2">
        <v>423</v>
      </c>
      <c r="I184" s="2">
        <v>31.82</v>
      </c>
    </row>
    <row r="185" spans="1:9" ht="20" customHeight="1" x14ac:dyDescent="0.2">
      <c r="A185" s="2">
        <f t="shared" si="2"/>
        <v>184</v>
      </c>
      <c r="B185" s="2" t="s">
        <v>255</v>
      </c>
      <c r="C185" s="2" t="s">
        <v>534</v>
      </c>
      <c r="D185" s="3" t="d">
        <v>2023-06-22</v>
      </c>
      <c r="E185" s="3" t="d">
        <v>2024-06-22</v>
      </c>
      <c r="F185" s="2" t="s">
        <v>2</v>
      </c>
      <c r="G185" s="2">
        <v>381.1</v>
      </c>
      <c r="H185" s="2">
        <v>378</v>
      </c>
      <c r="I185" s="2">
        <v>-0.81</v>
      </c>
    </row>
    <row r="186" spans="1:9" ht="20" customHeight="1" x14ac:dyDescent="0.2">
      <c r="A186" s="2">
        <f t="shared" ref="A186:A221" si="3">ROW()-1</f>
        <v>185</v>
      </c>
      <c r="B186" s="2" t="s">
        <v>256</v>
      </c>
      <c r="C186" s="2" t="s">
        <v>535</v>
      </c>
      <c r="D186" s="3" t="d">
        <v>2023-07-05</v>
      </c>
      <c r="E186" s="3" t="d">
        <v>2024-07-05</v>
      </c>
      <c r="F186" s="2" t="s">
        <v>2</v>
      </c>
      <c r="G186" s="2">
        <v>243</v>
      </c>
      <c r="H186" s="2">
        <v>223.4</v>
      </c>
      <c r="I186" s="2">
        <v>-9.3800000000000008</v>
      </c>
    </row>
    <row r="187" spans="1:9" ht="20" customHeight="1" x14ac:dyDescent="0.2">
      <c r="A187" s="2">
        <f t="shared" si="3"/>
        <v>186</v>
      </c>
      <c r="B187" s="2" t="s">
        <v>257</v>
      </c>
      <c r="C187" s="2" t="s">
        <v>536</v>
      </c>
      <c r="D187" s="3" t="d">
        <v>2023-07-05</v>
      </c>
      <c r="E187" s="3" t="d">
        <v>2024-07-05</v>
      </c>
      <c r="F187" s="2" t="s">
        <v>2</v>
      </c>
      <c r="G187" s="2">
        <v>274.2</v>
      </c>
      <c r="H187" s="2">
        <v>560</v>
      </c>
      <c r="I187" s="2">
        <v>106.78</v>
      </c>
    </row>
    <row r="188" spans="1:9" ht="20" customHeight="1" x14ac:dyDescent="0.2">
      <c r="A188" s="2">
        <f t="shared" si="3"/>
        <v>187</v>
      </c>
      <c r="B188" s="2" t="s">
        <v>259</v>
      </c>
      <c r="C188" s="2" t="s">
        <v>537</v>
      </c>
      <c r="D188" s="3" t="d">
        <v>2023-07-17</v>
      </c>
      <c r="E188" s="3" t="d">
        <v>2024-07-17</v>
      </c>
      <c r="F188" s="2" t="s">
        <v>2</v>
      </c>
      <c r="G188" s="2">
        <v>538.4</v>
      </c>
      <c r="H188" s="2">
        <v>640</v>
      </c>
      <c r="I188" s="2">
        <v>31.17</v>
      </c>
    </row>
    <row r="189" spans="1:9" ht="20" customHeight="1" x14ac:dyDescent="0.2">
      <c r="A189" s="2">
        <f t="shared" si="3"/>
        <v>188</v>
      </c>
      <c r="B189" s="2" t="s">
        <v>261</v>
      </c>
      <c r="C189" s="2" t="s">
        <v>538</v>
      </c>
      <c r="D189" s="3" t="d">
        <v>2023-08-06</v>
      </c>
      <c r="E189" s="3" t="d">
        <v>2024-08-06</v>
      </c>
      <c r="F189" s="2" t="s">
        <v>2</v>
      </c>
      <c r="G189" s="2">
        <v>582.4</v>
      </c>
      <c r="H189" s="2">
        <v>521.6</v>
      </c>
      <c r="I189" s="2">
        <v>12.18</v>
      </c>
    </row>
    <row r="190" spans="1:9" ht="20" customHeight="1" x14ac:dyDescent="0.2">
      <c r="A190" s="2">
        <f t="shared" si="3"/>
        <v>189</v>
      </c>
      <c r="B190" s="2" t="s">
        <v>262</v>
      </c>
      <c r="C190" s="2" t="s">
        <v>539</v>
      </c>
      <c r="D190" s="3" t="d">
        <v>2023-08-06</v>
      </c>
      <c r="E190" s="3" t="d">
        <v>2024-08-06</v>
      </c>
      <c r="F190" s="2" t="s">
        <v>2</v>
      </c>
      <c r="G190" s="2">
        <v>275.39999999999998</v>
      </c>
      <c r="H190" s="2">
        <v>487</v>
      </c>
      <c r="I190" s="2">
        <v>76.83</v>
      </c>
    </row>
    <row r="191" spans="1:9" ht="20" customHeight="1" x14ac:dyDescent="0.2">
      <c r="A191" s="2">
        <f t="shared" si="3"/>
        <v>190</v>
      </c>
      <c r="B191" s="2" t="s">
        <v>263</v>
      </c>
      <c r="C191" s="2" t="s">
        <v>540</v>
      </c>
      <c r="D191" s="3" t="d">
        <v>2023-08-13</v>
      </c>
      <c r="E191" s="3" t="d">
        <v>2024-08-13</v>
      </c>
      <c r="F191" s="2" t="s">
        <v>2</v>
      </c>
      <c r="G191" s="2">
        <v>280.5</v>
      </c>
      <c r="H191" s="2">
        <v>815</v>
      </c>
      <c r="I191" s="2">
        <v>190.55</v>
      </c>
    </row>
    <row r="192" spans="1:9" ht="20" customHeight="1" x14ac:dyDescent="0.2">
      <c r="A192" s="2">
        <f t="shared" si="3"/>
        <v>191</v>
      </c>
      <c r="B192" s="2" t="s">
        <v>264</v>
      </c>
      <c r="C192" s="2" t="s">
        <v>541</v>
      </c>
      <c r="D192" s="3" t="d">
        <v>2023-08-13</v>
      </c>
      <c r="E192" s="3" t="d">
        <v>2024-08-13</v>
      </c>
      <c r="F192" s="2" t="s">
        <v>2</v>
      </c>
      <c r="G192" s="2">
        <v>278.89999999999998</v>
      </c>
      <c r="H192" s="2">
        <v>661</v>
      </c>
      <c r="I192" s="2">
        <v>137</v>
      </c>
    </row>
    <row r="193" spans="1:9" ht="20" customHeight="1" x14ac:dyDescent="0.2">
      <c r="A193" s="2">
        <f t="shared" si="3"/>
        <v>192</v>
      </c>
      <c r="B193" s="2" t="s">
        <v>265</v>
      </c>
      <c r="C193" s="2" t="s">
        <v>542</v>
      </c>
      <c r="D193" s="3" t="d">
        <v>2023-08-13</v>
      </c>
      <c r="E193" s="3" t="d">
        <v>2024-08-13</v>
      </c>
      <c r="F193" s="2" t="s">
        <v>2</v>
      </c>
      <c r="G193" s="2">
        <v>509</v>
      </c>
      <c r="H193" s="2">
        <v>615</v>
      </c>
      <c r="I193" s="2">
        <v>38.950000000000003</v>
      </c>
    </row>
    <row r="194" spans="1:9" ht="20" customHeight="1" x14ac:dyDescent="0.2">
      <c r="A194" s="10">
        <f t="shared" si="3"/>
        <v>193</v>
      </c>
      <c r="B194" s="10" t="s">
        <v>267</v>
      </c>
      <c r="C194" s="10" t="s">
        <v>543</v>
      </c>
      <c r="D194" s="11" t="d">
        <v>2023-08-21</v>
      </c>
      <c r="E194" s="11" t="d">
        <v>2024-08-21</v>
      </c>
      <c r="F194" s="10" t="s">
        <v>2</v>
      </c>
      <c r="G194" s="10">
        <v>526.9</v>
      </c>
      <c r="H194" s="10">
        <v>2091</v>
      </c>
      <c r="I194" s="10">
        <v>296.85000000000002</v>
      </c>
    </row>
    <row r="195" spans="1:9" ht="20" customHeight="1" x14ac:dyDescent="0.2">
      <c r="A195" s="2">
        <f>ROW()-1</f>
        <v>194</v>
      </c>
      <c r="B195" s="2" t="s">
        <v>268</v>
      </c>
      <c r="C195" s="2" t="s">
        <v>544</v>
      </c>
      <c r="D195" s="3" t="d">
        <v>2023-08-28</v>
      </c>
      <c r="E195" s="3" t="d">
        <v>2024-08-28</v>
      </c>
      <c r="F195" s="2" t="s">
        <v>2</v>
      </c>
      <c r="G195" s="2">
        <v>181.2</v>
      </c>
      <c r="H195" s="2">
        <v>259</v>
      </c>
      <c r="I195" s="2">
        <v>53.15</v>
      </c>
    </row>
    <row r="196" spans="1:9" ht="20" customHeight="1" x14ac:dyDescent="0.2">
      <c r="A196" s="12">
        <f t="shared" si="3"/>
        <v>195</v>
      </c>
      <c r="B196" s="12" t="s">
        <v>269</v>
      </c>
      <c r="C196" s="12" t="s">
        <v>545</v>
      </c>
      <c r="D196" s="13" t="d">
        <v>2023-09-17</v>
      </c>
      <c r="E196" s="13" t="d">
        <v>2024-09-17</v>
      </c>
      <c r="F196" s="12" t="s">
        <v>2</v>
      </c>
      <c r="G196" s="12">
        <v>495</v>
      </c>
      <c r="H196" s="12">
        <v>481</v>
      </c>
      <c r="I196" s="12">
        <v>14.29</v>
      </c>
    </row>
    <row r="197" spans="1:9" ht="20" customHeight="1" x14ac:dyDescent="0.2">
      <c r="A197" s="2">
        <f t="shared" si="3"/>
        <v>196</v>
      </c>
      <c r="B197" s="2" t="s">
        <v>271</v>
      </c>
      <c r="C197" s="2" t="s">
        <v>546</v>
      </c>
      <c r="D197" s="3" t="d">
        <v>2023-09-21</v>
      </c>
      <c r="E197" s="3" t="d">
        <v>2024-09-21</v>
      </c>
      <c r="F197" s="2" t="s">
        <v>2</v>
      </c>
      <c r="G197" s="2">
        <v>470</v>
      </c>
      <c r="H197" s="2">
        <v>565</v>
      </c>
      <c r="I197" s="2">
        <v>48.04</v>
      </c>
    </row>
    <row r="198" spans="1:9" ht="20" customHeight="1" x14ac:dyDescent="0.2">
      <c r="A198" s="2">
        <f t="shared" si="3"/>
        <v>197</v>
      </c>
      <c r="B198" s="2" t="s">
        <v>272</v>
      </c>
      <c r="C198" s="2" t="s">
        <v>547</v>
      </c>
      <c r="D198" s="3" t="d">
        <v>2023-09-25</v>
      </c>
      <c r="E198" s="3" t="d">
        <v>2024-09-25</v>
      </c>
      <c r="F198" s="2" t="s">
        <v>2</v>
      </c>
      <c r="G198" s="2">
        <v>225</v>
      </c>
      <c r="H198" s="2">
        <v>375</v>
      </c>
      <c r="I198" s="2">
        <v>66.67</v>
      </c>
    </row>
    <row r="199" spans="1:9" ht="20" customHeight="1" x14ac:dyDescent="0.2">
      <c r="A199" s="2">
        <f t="shared" si="3"/>
        <v>198</v>
      </c>
      <c r="B199" s="2" t="s">
        <v>273</v>
      </c>
      <c r="C199" s="2" t="s">
        <v>548</v>
      </c>
      <c r="D199" s="3" t="d">
        <v>2023-09-25</v>
      </c>
      <c r="E199" s="3" t="d">
        <v>2024-09-25</v>
      </c>
      <c r="F199" s="2" t="s">
        <v>2</v>
      </c>
      <c r="G199" s="2">
        <v>264</v>
      </c>
      <c r="H199" s="2">
        <v>390</v>
      </c>
      <c r="I199" s="2">
        <v>47.73</v>
      </c>
    </row>
    <row r="200" spans="1:9" ht="20" customHeight="1" x14ac:dyDescent="0.2">
      <c r="A200" s="2">
        <f t="shared" si="3"/>
        <v>199</v>
      </c>
      <c r="B200" s="2" t="s">
        <v>274</v>
      </c>
      <c r="C200" s="2" t="s">
        <v>549</v>
      </c>
      <c r="D200" s="3" t="d">
        <v>2023-10-01</v>
      </c>
      <c r="E200" s="3" t="d">
        <v>2024-10-01</v>
      </c>
      <c r="F200" s="2" t="s">
        <v>2</v>
      </c>
      <c r="G200" s="2">
        <v>457.2</v>
      </c>
      <c r="H200" s="2">
        <v>633</v>
      </c>
      <c r="I200" s="2">
        <v>45.43</v>
      </c>
    </row>
    <row r="201" spans="1:9" ht="20" customHeight="1" x14ac:dyDescent="0.2">
      <c r="A201" s="2">
        <f t="shared" si="3"/>
        <v>200</v>
      </c>
      <c r="B201" s="2" t="s">
        <v>275</v>
      </c>
      <c r="C201" s="2" t="s">
        <v>550</v>
      </c>
      <c r="D201" s="3" t="d">
        <v>2023-10-11</v>
      </c>
      <c r="E201" s="3" t="d">
        <v>2024-10-11</v>
      </c>
      <c r="F201" s="2" t="s">
        <v>2</v>
      </c>
      <c r="G201" s="2">
        <v>410.5</v>
      </c>
      <c r="H201" s="2">
        <v>972</v>
      </c>
      <c r="I201" s="2">
        <v>137.52000000000001</v>
      </c>
    </row>
    <row r="202" spans="1:9" ht="20" customHeight="1" x14ac:dyDescent="0.2">
      <c r="A202" s="2">
        <f t="shared" si="3"/>
        <v>201</v>
      </c>
      <c r="B202" s="2" t="s">
        <v>276</v>
      </c>
      <c r="C202" s="2" t="s">
        <v>551</v>
      </c>
      <c r="D202" s="3" t="d">
        <v>2023-10-11</v>
      </c>
      <c r="E202" s="3" t="d">
        <v>2024-10-11</v>
      </c>
      <c r="F202" s="2" t="s">
        <v>2</v>
      </c>
      <c r="G202" s="2">
        <v>313.7</v>
      </c>
      <c r="H202" s="2">
        <v>1444</v>
      </c>
      <c r="I202" s="2">
        <v>398.1</v>
      </c>
    </row>
    <row r="203" spans="1:9" ht="20" customHeight="1" x14ac:dyDescent="0.2">
      <c r="A203" s="2">
        <f t="shared" si="3"/>
        <v>202</v>
      </c>
      <c r="B203" s="2" t="s">
        <v>277</v>
      </c>
      <c r="C203" s="2" t="s">
        <v>552</v>
      </c>
      <c r="D203" s="3" t="d">
        <v>2023-10-12</v>
      </c>
      <c r="E203" s="3" t="d">
        <v>2024-10-12</v>
      </c>
      <c r="F203" s="2" t="s">
        <v>2</v>
      </c>
      <c r="G203" s="2">
        <v>397.2</v>
      </c>
      <c r="H203" s="2">
        <v>960</v>
      </c>
      <c r="I203" s="2">
        <v>156.71</v>
      </c>
    </row>
    <row r="204" spans="1:9" ht="20" customHeight="1" x14ac:dyDescent="0.2">
      <c r="A204" s="2">
        <f t="shared" si="3"/>
        <v>203</v>
      </c>
      <c r="B204" s="2" t="s">
        <v>278</v>
      </c>
      <c r="C204" s="2" t="s">
        <v>553</v>
      </c>
      <c r="D204" s="3" t="d">
        <v>2023-10-12</v>
      </c>
      <c r="E204" s="3" t="d">
        <v>2024-10-12</v>
      </c>
      <c r="F204" s="2" t="s">
        <v>2</v>
      </c>
      <c r="G204" s="2">
        <v>330</v>
      </c>
      <c r="H204" s="2">
        <v>1026.9000000000001</v>
      </c>
      <c r="I204" s="2">
        <v>245.76</v>
      </c>
    </row>
    <row r="205" spans="1:9" ht="20" customHeight="1" x14ac:dyDescent="0.2">
      <c r="A205" s="2">
        <f t="shared" si="3"/>
        <v>204</v>
      </c>
      <c r="B205" s="2" t="s">
        <v>279</v>
      </c>
      <c r="C205" s="2" t="s">
        <v>554</v>
      </c>
      <c r="D205" s="3" t="d">
        <v>2023-10-29</v>
      </c>
      <c r="E205" s="3" t="d">
        <v>2024-10-29</v>
      </c>
      <c r="F205" s="2" t="s">
        <v>2</v>
      </c>
      <c r="G205" s="2">
        <v>315</v>
      </c>
      <c r="H205" s="2">
        <v>487</v>
      </c>
      <c r="I205" s="2">
        <v>54.6</v>
      </c>
    </row>
    <row r="206" spans="1:9" ht="20" customHeight="1" x14ac:dyDescent="0.2">
      <c r="A206" s="2">
        <f t="shared" si="3"/>
        <v>205</v>
      </c>
      <c r="B206" s="2" t="s">
        <v>280</v>
      </c>
      <c r="C206" s="2" t="s">
        <v>555</v>
      </c>
      <c r="D206" s="3" t="d">
        <v>2023-11-20</v>
      </c>
      <c r="E206" s="3" t="d">
        <v>2024-11-20</v>
      </c>
      <c r="F206" s="2" t="s">
        <v>2</v>
      </c>
      <c r="G206" s="2">
        <v>259.60000000000002</v>
      </c>
      <c r="H206" s="2">
        <v>681.9</v>
      </c>
      <c r="I206" s="2">
        <v>162.66999999999999</v>
      </c>
    </row>
    <row r="207" spans="1:9" ht="20" customHeight="1" x14ac:dyDescent="0.2">
      <c r="A207" s="2">
        <f t="shared" si="3"/>
        <v>206</v>
      </c>
      <c r="B207" s="2" t="s">
        <v>281</v>
      </c>
      <c r="C207" s="2" t="s">
        <v>556</v>
      </c>
      <c r="D207" s="3" t="d">
        <v>2023-12-07</v>
      </c>
      <c r="E207" s="3" t="d">
        <v>2024-12-07</v>
      </c>
      <c r="F207" s="2" t="s">
        <v>2</v>
      </c>
      <c r="G207" s="2">
        <v>294.8</v>
      </c>
      <c r="H207" s="2">
        <v>511</v>
      </c>
      <c r="I207" s="2">
        <v>73.680000000000007</v>
      </c>
    </row>
    <row r="208" spans="1:9" ht="20" customHeight="1" x14ac:dyDescent="0.2">
      <c r="A208" s="2">
        <f t="shared" si="3"/>
        <v>207</v>
      </c>
      <c r="B208" s="2" t="s">
        <v>282</v>
      </c>
      <c r="C208" s="2" t="s">
        <v>557</v>
      </c>
      <c r="D208" s="3" t="d">
        <v>2023-12-14</v>
      </c>
      <c r="E208" s="3" t="d">
        <v>2024-12-14</v>
      </c>
      <c r="F208" s="2" t="s">
        <v>2</v>
      </c>
      <c r="G208" s="2">
        <v>196.6</v>
      </c>
      <c r="H208" s="2">
        <v>1500</v>
      </c>
      <c r="I208" s="2">
        <v>688.4</v>
      </c>
    </row>
    <row r="209" spans="1:9" ht="20" customHeight="1" x14ac:dyDescent="0.2">
      <c r="A209" s="2">
        <f t="shared" si="3"/>
        <v>208</v>
      </c>
      <c r="B209" s="2" t="s">
        <v>284</v>
      </c>
      <c r="C209" s="2" t="s">
        <v>558</v>
      </c>
      <c r="D209" s="3" t="d">
        <v>2023-12-19</v>
      </c>
      <c r="E209" s="3" t="d">
        <v>2024-12-19</v>
      </c>
      <c r="F209" s="2" t="s">
        <v>2</v>
      </c>
      <c r="G209" s="2">
        <v>589</v>
      </c>
      <c r="H209" s="2">
        <v>519.5</v>
      </c>
      <c r="I209" s="2">
        <v>-2.89</v>
      </c>
    </row>
    <row r="210" spans="1:9" ht="20" customHeight="1" x14ac:dyDescent="0.2">
      <c r="A210" s="2">
        <f t="shared" si="3"/>
        <v>209</v>
      </c>
      <c r="B210" s="2" t="s">
        <v>286</v>
      </c>
      <c r="C210" s="2" t="s">
        <v>559</v>
      </c>
      <c r="D210" s="3" t="d">
        <v>2023-12-21</v>
      </c>
      <c r="E210" s="3" t="d">
        <v>2024-12-21</v>
      </c>
      <c r="F210" s="2" t="s">
        <v>2</v>
      </c>
      <c r="G210" s="2">
        <v>401.8</v>
      </c>
      <c r="H210" s="2">
        <v>648</v>
      </c>
      <c r="I210" s="2">
        <v>61.32</v>
      </c>
    </row>
    <row r="211" spans="1:9" ht="20" customHeight="1" x14ac:dyDescent="0.2">
      <c r="A211" s="2">
        <f t="shared" si="3"/>
        <v>210</v>
      </c>
      <c r="B211" s="2" t="s">
        <v>287</v>
      </c>
      <c r="C211" s="2" t="s">
        <v>560</v>
      </c>
      <c r="D211" s="3" t="d">
        <v>2023-12-21</v>
      </c>
      <c r="E211" s="3" t="d">
        <v>2024-12-21</v>
      </c>
      <c r="F211" s="2" t="s">
        <v>2</v>
      </c>
      <c r="G211" s="2">
        <v>330</v>
      </c>
      <c r="H211" s="2">
        <v>771</v>
      </c>
      <c r="I211" s="2">
        <v>119.7</v>
      </c>
    </row>
    <row r="212" spans="1:9" ht="20" customHeight="1" x14ac:dyDescent="0.2">
      <c r="A212" s="2">
        <f t="shared" si="3"/>
        <v>211</v>
      </c>
      <c r="B212" s="2" t="s">
        <v>288</v>
      </c>
      <c r="C212" s="2" t="s">
        <v>561</v>
      </c>
      <c r="D212" s="3" t="d">
        <v>2023-12-21</v>
      </c>
      <c r="E212" s="3" t="d">
        <v>2024-12-21</v>
      </c>
      <c r="F212" s="2" t="s">
        <v>2</v>
      </c>
      <c r="G212" s="2">
        <v>229.6</v>
      </c>
      <c r="H212" s="2">
        <v>954</v>
      </c>
      <c r="I212" s="2">
        <v>320.3</v>
      </c>
    </row>
    <row r="213" spans="1:9" ht="20" customHeight="1" x14ac:dyDescent="0.2">
      <c r="A213" s="2">
        <f t="shared" si="3"/>
        <v>212</v>
      </c>
      <c r="B213" s="2" t="s">
        <v>291</v>
      </c>
      <c r="C213" s="2" t="s">
        <v>563</v>
      </c>
      <c r="D213" s="3" t="d">
        <v>2024-01-08</v>
      </c>
      <c r="E213" s="3" t="d">
        <v>2025-01-08</v>
      </c>
      <c r="F213" s="2" t="s">
        <v>2</v>
      </c>
      <c r="G213" s="2">
        <v>340.1</v>
      </c>
      <c r="H213" s="2">
        <v>825</v>
      </c>
      <c r="I213" s="2">
        <v>152.34</v>
      </c>
    </row>
    <row r="214" spans="1:9" ht="20" customHeight="1" x14ac:dyDescent="0.2">
      <c r="A214" s="10">
        <f t="shared" si="3"/>
        <v>213</v>
      </c>
      <c r="B214" s="10" t="s">
        <v>294</v>
      </c>
      <c r="C214" s="10" t="s">
        <v>564</v>
      </c>
      <c r="D214" s="11" t="d">
        <v>2024-03-19</v>
      </c>
      <c r="E214" s="11" t="d">
        <v>2025-03-19</v>
      </c>
      <c r="F214" s="10" t="s">
        <v>2</v>
      </c>
      <c r="G214" s="10">
        <v>611.6</v>
      </c>
      <c r="H214" s="10">
        <v>807</v>
      </c>
      <c r="I214" s="10">
        <v>44.13</v>
      </c>
    </row>
    <row r="215" spans="1:9" ht="20" customHeight="1" x14ac:dyDescent="0.2">
      <c r="A215" s="2">
        <f>ROW()-1</f>
        <v>214</v>
      </c>
      <c r="B215" s="2" t="s">
        <v>298</v>
      </c>
      <c r="C215" s="2" t="s">
        <v>565</v>
      </c>
      <c r="D215" s="3" t="d">
        <v>2024-05-19</v>
      </c>
      <c r="E215" s="3" t="d">
        <v>2025-05-19</v>
      </c>
      <c r="F215" s="2" t="s">
        <v>2</v>
      </c>
      <c r="G215" s="2">
        <v>646.6</v>
      </c>
      <c r="H215" s="2">
        <v>620.72</v>
      </c>
      <c r="I215" s="2">
        <v>-4</v>
      </c>
    </row>
    <row r="216" spans="1:9" ht="20" customHeight="1" x14ac:dyDescent="0.2">
      <c r="A216" s="12">
        <f t="shared" si="3"/>
        <v>215</v>
      </c>
      <c r="B216" s="12" t="s">
        <v>301</v>
      </c>
      <c r="C216" s="12" t="s">
        <v>566</v>
      </c>
      <c r="D216" s="13" t="d">
        <v>2024-08-13</v>
      </c>
      <c r="E216" s="13" t="d">
        <v>2025-08-13</v>
      </c>
      <c r="F216" s="12" t="s">
        <v>2</v>
      </c>
      <c r="G216" s="12">
        <v>1406.2</v>
      </c>
      <c r="H216" s="12">
        <v>1169.21</v>
      </c>
      <c r="I216" s="12">
        <v>-16.850000000000001</v>
      </c>
    </row>
    <row r="217" spans="1:9" ht="20" customHeight="1" x14ac:dyDescent="0.2">
      <c r="A217" s="2">
        <f t="shared" si="3"/>
        <v>216</v>
      </c>
      <c r="B217" s="2" t="s">
        <v>302</v>
      </c>
      <c r="C217" s="2" t="s">
        <v>567</v>
      </c>
      <c r="D217" s="3" t="d">
        <v>2024-08-18</v>
      </c>
      <c r="E217" s="3" t="d">
        <v>2025-08-18</v>
      </c>
      <c r="F217" s="2" t="s">
        <v>2</v>
      </c>
      <c r="G217" s="2">
        <v>1162.7</v>
      </c>
      <c r="H217" s="2">
        <v>942.21</v>
      </c>
      <c r="I217" s="2">
        <v>-18.96</v>
      </c>
    </row>
    <row r="218" spans="1:9" ht="20" customHeight="1" x14ac:dyDescent="0.2">
      <c r="A218" s="2">
        <f t="shared" si="3"/>
        <v>217</v>
      </c>
      <c r="B218" s="2" t="s">
        <v>304</v>
      </c>
      <c r="C218" s="2" t="s">
        <v>568</v>
      </c>
      <c r="D218" s="3" t="d">
        <v>2025-02-09</v>
      </c>
      <c r="E218" s="3" t="d">
        <v>2026-02-09</v>
      </c>
      <c r="F218" s="2" t="s">
        <v>2</v>
      </c>
      <c r="G218" s="2">
        <v>331.1</v>
      </c>
      <c r="H218" s="2">
        <v>1772</v>
      </c>
      <c r="I218" s="2">
        <v>435.19</v>
      </c>
    </row>
    <row r="219" spans="1:9" ht="20" customHeight="1" x14ac:dyDescent="0.2">
      <c r="A219" s="2">
        <f t="shared" si="3"/>
        <v>218</v>
      </c>
      <c r="B219" s="2" t="s">
        <v>307</v>
      </c>
      <c r="C219" s="2" t="s">
        <v>569</v>
      </c>
      <c r="D219" s="3" t="d">
        <v>2025-04-08</v>
      </c>
      <c r="E219" s="3" t="d">
        <v>2026-04-08</v>
      </c>
      <c r="F219" s="2" t="s">
        <v>2</v>
      </c>
      <c r="G219" s="2">
        <v>332.5</v>
      </c>
      <c r="H219" s="2">
        <v>1195</v>
      </c>
      <c r="I219" s="2">
        <v>259.39999999999998</v>
      </c>
    </row>
    <row r="220" spans="1:9" ht="20" customHeight="1" x14ac:dyDescent="0.2">
      <c r="A220" s="2">
        <f t="shared" si="3"/>
        <v>219</v>
      </c>
      <c r="B220" s="2" t="s">
        <v>308</v>
      </c>
      <c r="C220" s="2" t="s">
        <v>570</v>
      </c>
      <c r="D220" s="3" t="d">
        <v>2025-04-10</v>
      </c>
      <c r="E220" s="3" t="d">
        <v>2026-04-10</v>
      </c>
      <c r="F220" s="2" t="s">
        <v>2</v>
      </c>
      <c r="G220" s="2">
        <v>332.7</v>
      </c>
      <c r="H220" s="2">
        <v>1312.8</v>
      </c>
      <c r="I220" s="2">
        <v>294.58999999999997</v>
      </c>
    </row>
    <row r="221" spans="1:9" ht="20" customHeight="1" x14ac:dyDescent="0.2">
      <c r="A221" s="2">
        <f t="shared" si="3"/>
        <v>220</v>
      </c>
      <c r="B221" s="2" t="s">
        <v>310</v>
      </c>
      <c r="C221" s="2" t="s">
        <v>571</v>
      </c>
      <c r="D221" s="3" t="d">
        <v>2025-05-04</v>
      </c>
      <c r="E221" s="3" t="d">
        <v>2026-05-04</v>
      </c>
      <c r="F221" s="2" t="s">
        <v>2</v>
      </c>
      <c r="G221" s="2">
        <v>297</v>
      </c>
      <c r="H221" s="2">
        <v>1125</v>
      </c>
      <c r="I221" s="2">
        <v>278.79000000000002</v>
      </c>
    </row>
    <row r="222" spans="1:9" ht="20" customHeight="1" x14ac:dyDescent="0.2">
      <c r="A222" s="7"/>
      <c r="B222" s="7"/>
      <c r="C222" s="7"/>
      <c r="D222" s="7"/>
      <c r="E222" s="7"/>
      <c r="F222" s="7"/>
      <c r="G222" s="7"/>
      <c r="H222" s="8" t="s">
        <v>572</v>
      </c>
      <c r="I222" s="9">
        <f>AVERAGE(I2:I221)</f>
        <v>98.827499999999986</v>
      </c>
    </row>
    <row r="223" spans="1:9" ht="20" customHeight="1" x14ac:dyDescent="0.2">
      <c r="H223" s="8" t="s">
        <v>573</v>
      </c>
      <c r="I223" s="9">
        <f>((1+I222/100)^(365/365)-1)*100</f>
        <v>98.827499999999986</v>
      </c>
    </row>
    <row r="224" spans="1:9" x14ac:dyDescent="0.2">
      <c r="H224" s="8" t="s">
        <v>673</v>
      </c>
      <c r="I224" s="9">
        <f>MEDIAN(I2:I221)</f>
        <v>36.01</v>
      </c>
    </row>
    <row r="225" spans="6:10" x14ac:dyDescent="0.2">
      <c r="H225" s="8" t="s">
        <v>678</v>
      </c>
      <c r="I225" s="17">
        <f>COUNTIF(I2:I221,"&lt;0")</f>
        <v>70</v>
      </c>
      <c r="J225" s="18">
        <f>I225/COUNT(I2:I221)</f>
        <v>0.31818181818181818</v>
      </c>
    </row>
    <row r="227" spans="6:10" x14ac:dyDescent="0.2">
      <c r="F227" s="19" t="s">
        <v>679</v>
      </c>
      <c r="G227">
        <f>COUNT(I2:I221)*100000</f>
        <v>22000000</v>
      </c>
    </row>
    <row r="228" spans="6:10" x14ac:dyDescent="0.2">
      <c r="F228" s="19" t="s">
        <v>680</v>
      </c>
      <c r="G228" cm="1">
        <f t="array" ref="G228">SUMPRODUCT((1+I2:I221/100)*100000)</f>
        <v>43742050</v>
      </c>
    </row>
    <row r="229" spans="6:10" x14ac:dyDescent="0.2">
      <c r="F229" s="19" t="s">
        <v>681</v>
      </c>
      <c r="G229">
        <f>G228-G227</f>
        <v>21742050</v>
      </c>
    </row>
    <row r="230" spans="6:10" x14ac:dyDescent="0.2">
      <c r="F230" s="19" t="s">
        <v>682</v>
      </c>
      <c r="G230">
        <f>(G228-G227)/G227*100</f>
        <v>98.827500000000001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0"/>
  <sheetViews>
    <sheetView topLeftCell="A91" zoomScale="140" zoomScaleNormal="140" workbookViewId="0"/>
  </sheetViews>
  <sheetFormatPr baseColWidth="10" defaultRowHeight="16" x14ac:dyDescent="0.2"/>
  <cols>
    <col min="1" max="1" width="4.1640625" bestFit="1" customWidth="1"/>
    <col min="3" max="3" width="43.83203125" customWidth="1"/>
    <col min="4" max="4" width="11.5" bestFit="1" customWidth="1"/>
    <col min="5" max="5" width="12" bestFit="1" customWidth="1"/>
    <col min="6" max="6" width="12.33203125" bestFit="1" customWidth="1"/>
    <col min="7" max="7" width="11.5" bestFit="1" customWidth="1"/>
    <col min="8" max="8" width="9.1640625" bestFit="1" customWidth="1"/>
    <col min="9" max="9" width="14.33203125" bestFit="1" customWidth="1"/>
  </cols>
  <sheetData>
    <row r="1" spans="1:9" ht="35" customHeight="1" x14ac:dyDescent="0.2">
      <c r="A1" s="1" t="s">
        <v>0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</row>
    <row r="2" spans="1:9" ht="20" customHeight="1" x14ac:dyDescent="0.2">
      <c r="A2" s="2">
        <f>ROW()-1</f>
        <v>1</v>
      </c>
      <c r="B2" s="2" t="s">
        <v>8</v>
      </c>
      <c r="C2" s="2" t="s">
        <v>574</v>
      </c>
      <c r="D2" s="3" t="d">
        <v>2007-12-04</v>
      </c>
      <c r="E2" s="3" t="d">
        <v>2008-12-04</v>
      </c>
      <c r="F2" s="2" t="s">
        <v>2</v>
      </c>
      <c r="G2" s="2">
        <v>570</v>
      </c>
      <c r="H2" s="2">
        <v>1177</v>
      </c>
      <c r="I2" s="2">
        <v>106.49</v>
      </c>
    </row>
    <row r="3" spans="1:9" ht="20" customHeight="1" x14ac:dyDescent="0.2">
      <c r="A3" s="2">
        <f t="shared" ref="A3:A66" si="0">ROW()-1</f>
        <v>2</v>
      </c>
      <c r="B3" s="2" t="s">
        <v>22</v>
      </c>
      <c r="C3" s="2" t="s">
        <v>575</v>
      </c>
      <c r="D3" s="3" t="d">
        <v>2011-03-20</v>
      </c>
      <c r="E3" s="3" t="d">
        <v>2012-03-20</v>
      </c>
      <c r="F3" s="2" t="s">
        <v>2</v>
      </c>
      <c r="G3" s="2">
        <v>115</v>
      </c>
      <c r="H3" s="2">
        <v>79</v>
      </c>
      <c r="I3" s="2">
        <v>-23.91</v>
      </c>
    </row>
    <row r="4" spans="1:9" ht="20" customHeight="1" x14ac:dyDescent="0.2">
      <c r="A4" s="2">
        <f t="shared" si="0"/>
        <v>3</v>
      </c>
      <c r="B4" s="2" t="s">
        <v>32</v>
      </c>
      <c r="C4" s="2" t="s">
        <v>576</v>
      </c>
      <c r="D4" s="3" t="d">
        <v>2011-03-25</v>
      </c>
      <c r="E4" s="3" t="d">
        <v>2012-03-25</v>
      </c>
      <c r="F4" s="2" t="s">
        <v>2</v>
      </c>
      <c r="G4" s="2">
        <v>124</v>
      </c>
      <c r="H4" s="2">
        <v>103</v>
      </c>
      <c r="I4" s="2">
        <v>-28.23</v>
      </c>
    </row>
    <row r="5" spans="1:9" ht="20" customHeight="1" x14ac:dyDescent="0.2">
      <c r="A5" s="2">
        <f t="shared" si="0"/>
        <v>4</v>
      </c>
      <c r="B5" s="2" t="s">
        <v>40</v>
      </c>
      <c r="C5" s="2" t="s">
        <v>577</v>
      </c>
      <c r="D5" s="3" t="d">
        <v>2011-04-04</v>
      </c>
      <c r="E5" s="3" t="d">
        <v>2012-04-04</v>
      </c>
      <c r="F5" s="2" t="s">
        <v>2</v>
      </c>
      <c r="G5" s="2">
        <v>148</v>
      </c>
      <c r="H5" s="2">
        <v>94</v>
      </c>
      <c r="I5" s="2">
        <v>-29.37</v>
      </c>
    </row>
    <row r="6" spans="1:9" ht="20" customHeight="1" x14ac:dyDescent="0.2">
      <c r="A6" s="2">
        <f t="shared" si="0"/>
        <v>5</v>
      </c>
      <c r="B6" s="2" t="s">
        <v>41</v>
      </c>
      <c r="C6" s="2" t="s">
        <v>578</v>
      </c>
      <c r="D6" s="3" t="d">
        <v>2011-04-05</v>
      </c>
      <c r="E6" s="3" t="d">
        <v>2012-04-05</v>
      </c>
      <c r="F6" s="2" t="s">
        <v>2</v>
      </c>
      <c r="G6" s="2">
        <v>449</v>
      </c>
      <c r="H6" s="2">
        <v>168</v>
      </c>
      <c r="I6" s="2">
        <v>-55.38</v>
      </c>
    </row>
    <row r="7" spans="1:9" ht="20" customHeight="1" x14ac:dyDescent="0.2">
      <c r="A7" s="2">
        <f t="shared" si="0"/>
        <v>6</v>
      </c>
      <c r="B7" s="2" t="s">
        <v>42</v>
      </c>
      <c r="C7" s="2" t="s">
        <v>579</v>
      </c>
      <c r="D7" s="3" t="d">
        <v>2011-04-05</v>
      </c>
      <c r="E7" s="3" t="d">
        <v>2012-04-05</v>
      </c>
      <c r="F7" s="2" t="s">
        <v>2</v>
      </c>
      <c r="G7" s="2">
        <v>220</v>
      </c>
      <c r="H7" s="2">
        <v>206</v>
      </c>
      <c r="I7" s="2">
        <v>7.73</v>
      </c>
    </row>
    <row r="8" spans="1:9" ht="20" customHeight="1" x14ac:dyDescent="0.2">
      <c r="A8" s="2">
        <f t="shared" si="0"/>
        <v>7</v>
      </c>
      <c r="B8" s="2" t="s">
        <v>45</v>
      </c>
      <c r="C8" s="2" t="s">
        <v>580</v>
      </c>
      <c r="D8" s="3" t="d">
        <v>2011-04-07</v>
      </c>
      <c r="E8" s="3" t="d">
        <v>2012-04-07</v>
      </c>
      <c r="F8" s="2" t="s">
        <v>2</v>
      </c>
      <c r="G8" s="2">
        <v>461</v>
      </c>
      <c r="H8" s="2">
        <v>427</v>
      </c>
      <c r="I8" s="2">
        <v>-5.64</v>
      </c>
    </row>
    <row r="9" spans="1:9" ht="20" customHeight="1" x14ac:dyDescent="0.2">
      <c r="A9" s="2">
        <f t="shared" si="0"/>
        <v>8</v>
      </c>
      <c r="B9" s="2" t="s">
        <v>48</v>
      </c>
      <c r="C9" s="2" t="s">
        <v>581</v>
      </c>
      <c r="D9" s="3" t="d">
        <v>2011-05-05</v>
      </c>
      <c r="E9" s="3" t="d">
        <v>2012-05-05</v>
      </c>
      <c r="F9" s="2" t="s">
        <v>2</v>
      </c>
      <c r="G9" s="2">
        <v>299</v>
      </c>
      <c r="H9" s="2">
        <v>410</v>
      </c>
      <c r="I9" s="2">
        <v>61.34</v>
      </c>
    </row>
    <row r="10" spans="1:9" ht="20" customHeight="1" x14ac:dyDescent="0.2">
      <c r="A10" s="2">
        <f t="shared" si="0"/>
        <v>9</v>
      </c>
      <c r="B10" s="2" t="s">
        <v>49</v>
      </c>
      <c r="C10" s="2" t="s">
        <v>582</v>
      </c>
      <c r="D10" s="3" t="d">
        <v>2011-05-11</v>
      </c>
      <c r="E10" s="3" t="d">
        <v>2012-05-11</v>
      </c>
      <c r="F10" s="2" t="s">
        <v>2</v>
      </c>
      <c r="G10" s="2">
        <v>136</v>
      </c>
      <c r="H10" s="2">
        <v>129</v>
      </c>
      <c r="I10" s="2">
        <v>-6.62</v>
      </c>
    </row>
    <row r="11" spans="1:9" ht="20" customHeight="1" x14ac:dyDescent="0.2">
      <c r="A11" s="2">
        <f t="shared" si="0"/>
        <v>10</v>
      </c>
      <c r="B11" s="2" t="s">
        <v>50</v>
      </c>
      <c r="C11" s="2" t="s">
        <v>583</v>
      </c>
      <c r="D11" s="3" t="d">
        <v>2011-05-25</v>
      </c>
      <c r="E11" s="3" t="d">
        <v>2012-05-25</v>
      </c>
      <c r="F11" s="2" t="s">
        <v>2</v>
      </c>
      <c r="G11" s="2">
        <v>235</v>
      </c>
      <c r="H11" s="2">
        <v>124</v>
      </c>
      <c r="I11" s="2">
        <v>-42.13</v>
      </c>
    </row>
    <row r="12" spans="1:9" ht="20" customHeight="1" x14ac:dyDescent="0.2">
      <c r="A12" s="2">
        <f t="shared" si="0"/>
        <v>11</v>
      </c>
      <c r="B12" s="2" t="s">
        <v>51</v>
      </c>
      <c r="C12" s="2" t="s">
        <v>584</v>
      </c>
      <c r="D12" s="3" t="d">
        <v>2011-07-07</v>
      </c>
      <c r="E12" s="3" t="d">
        <v>2012-07-07</v>
      </c>
      <c r="F12" s="2" t="s">
        <v>2</v>
      </c>
      <c r="G12" s="2">
        <v>184</v>
      </c>
      <c r="H12" s="2">
        <v>168</v>
      </c>
      <c r="I12" s="2">
        <v>-7.07</v>
      </c>
    </row>
    <row r="13" spans="1:9" ht="20" customHeight="1" x14ac:dyDescent="0.2">
      <c r="A13" s="2">
        <f t="shared" si="0"/>
        <v>12</v>
      </c>
      <c r="B13" s="2" t="s">
        <v>52</v>
      </c>
      <c r="C13" s="2" t="s">
        <v>585</v>
      </c>
      <c r="D13" s="3" t="d">
        <v>2011-07-10</v>
      </c>
      <c r="E13" s="3" t="d">
        <v>2012-07-10</v>
      </c>
      <c r="F13" s="2" t="s">
        <v>2</v>
      </c>
      <c r="G13" s="2">
        <v>358</v>
      </c>
      <c r="H13" s="2">
        <v>260</v>
      </c>
      <c r="I13" s="2">
        <v>-14.65</v>
      </c>
    </row>
    <row r="14" spans="1:9" ht="20" customHeight="1" x14ac:dyDescent="0.2">
      <c r="A14" s="2">
        <f t="shared" si="0"/>
        <v>13</v>
      </c>
      <c r="B14" s="2" t="s">
        <v>53</v>
      </c>
      <c r="C14" s="2" t="s">
        <v>586</v>
      </c>
      <c r="D14" s="3" t="d">
        <v>2011-08-17</v>
      </c>
      <c r="E14" s="3" t="d">
        <v>2012-08-17</v>
      </c>
      <c r="F14" s="2" t="s">
        <v>2</v>
      </c>
      <c r="G14" s="2">
        <v>382</v>
      </c>
      <c r="H14" s="2">
        <v>104</v>
      </c>
      <c r="I14" s="2">
        <v>-72.25</v>
      </c>
    </row>
    <row r="15" spans="1:9" ht="20" customHeight="1" x14ac:dyDescent="0.2">
      <c r="A15" s="2">
        <f t="shared" si="0"/>
        <v>14</v>
      </c>
      <c r="B15" s="2" t="s">
        <v>56</v>
      </c>
      <c r="C15" s="2" t="s">
        <v>587</v>
      </c>
      <c r="D15" s="3" t="d">
        <v>2011-11-16</v>
      </c>
      <c r="E15" s="3" t="d">
        <v>2012-11-16</v>
      </c>
      <c r="F15" s="2" t="s">
        <v>2</v>
      </c>
      <c r="G15" s="2">
        <v>314</v>
      </c>
      <c r="H15" s="2">
        <v>130</v>
      </c>
      <c r="I15" s="2">
        <v>-56.05</v>
      </c>
    </row>
    <row r="16" spans="1:9" ht="20" customHeight="1" x14ac:dyDescent="0.2">
      <c r="A16" s="2">
        <f t="shared" si="0"/>
        <v>15</v>
      </c>
      <c r="B16" s="2" t="s">
        <v>58</v>
      </c>
      <c r="C16" s="2" t="s">
        <v>588</v>
      </c>
      <c r="D16" s="3" t="d">
        <v>2012-02-12</v>
      </c>
      <c r="E16" s="3" t="d">
        <v>2013-02-12</v>
      </c>
      <c r="F16" s="2" t="s">
        <v>2</v>
      </c>
      <c r="G16" s="2">
        <v>415</v>
      </c>
      <c r="H16" s="2">
        <v>87</v>
      </c>
      <c r="I16" s="2">
        <v>-79.040000000000006</v>
      </c>
    </row>
    <row r="17" spans="1:9" ht="20" customHeight="1" x14ac:dyDescent="0.2">
      <c r="A17" s="2">
        <f t="shared" si="0"/>
        <v>16</v>
      </c>
      <c r="B17" s="2" t="s">
        <v>62</v>
      </c>
      <c r="C17" s="2" t="s">
        <v>589</v>
      </c>
      <c r="D17" s="3" t="d">
        <v>2012-11-08</v>
      </c>
      <c r="E17" s="3" t="d">
        <v>2013-11-08</v>
      </c>
      <c r="F17" s="2" t="s">
        <v>2</v>
      </c>
      <c r="G17" s="2">
        <v>150</v>
      </c>
      <c r="H17" s="2">
        <v>118</v>
      </c>
      <c r="I17" s="2">
        <v>-20</v>
      </c>
    </row>
    <row r="18" spans="1:9" ht="20" customHeight="1" x14ac:dyDescent="0.2">
      <c r="A18" s="2">
        <f t="shared" si="0"/>
        <v>17</v>
      </c>
      <c r="B18" s="2" t="s">
        <v>67</v>
      </c>
      <c r="C18" s="2" t="s">
        <v>590</v>
      </c>
      <c r="D18" s="3" t="d">
        <v>2013-08-18</v>
      </c>
      <c r="E18" s="3" t="d">
        <v>2014-08-18</v>
      </c>
      <c r="F18" s="2" t="s">
        <v>2</v>
      </c>
      <c r="G18" s="2">
        <v>292</v>
      </c>
      <c r="H18" s="2">
        <v>450</v>
      </c>
      <c r="I18" s="2">
        <v>177.4</v>
      </c>
    </row>
    <row r="19" spans="1:9" ht="20" customHeight="1" x14ac:dyDescent="0.2">
      <c r="A19" s="2">
        <f t="shared" si="0"/>
        <v>18</v>
      </c>
      <c r="B19" s="2" t="s">
        <v>68</v>
      </c>
      <c r="C19" s="2" t="s">
        <v>591</v>
      </c>
      <c r="D19" s="3" t="d">
        <v>2013-09-08</v>
      </c>
      <c r="E19" s="3" t="d">
        <v>2014-09-08</v>
      </c>
      <c r="F19" s="2" t="s">
        <v>2</v>
      </c>
      <c r="G19" s="2">
        <v>140</v>
      </c>
      <c r="H19" s="2">
        <v>223</v>
      </c>
      <c r="I19" s="2">
        <v>68.209999999999994</v>
      </c>
    </row>
    <row r="20" spans="1:9" ht="20" customHeight="1" x14ac:dyDescent="0.2">
      <c r="A20" s="2">
        <f t="shared" si="0"/>
        <v>19</v>
      </c>
      <c r="B20" s="2" t="s">
        <v>73</v>
      </c>
      <c r="C20" s="2" t="s">
        <v>592</v>
      </c>
      <c r="D20" s="3" t="d">
        <v>2014-08-28</v>
      </c>
      <c r="E20" s="3" t="d">
        <v>2015-08-28</v>
      </c>
      <c r="F20" s="2" t="s">
        <v>2</v>
      </c>
      <c r="G20" s="2">
        <v>150</v>
      </c>
      <c r="H20" s="2">
        <v>172</v>
      </c>
      <c r="I20" s="2">
        <v>14</v>
      </c>
    </row>
    <row r="21" spans="1:9" ht="20" customHeight="1" x14ac:dyDescent="0.2">
      <c r="A21" s="2">
        <f t="shared" si="0"/>
        <v>20</v>
      </c>
      <c r="B21" s="2" t="s">
        <v>78</v>
      </c>
      <c r="C21" s="2" t="s">
        <v>593</v>
      </c>
      <c r="D21" s="3" t="d">
        <v>2015-07-02</v>
      </c>
      <c r="E21" s="3" t="d">
        <v>2016-07-02</v>
      </c>
      <c r="F21" s="2" t="s">
        <v>2</v>
      </c>
      <c r="G21" s="2">
        <v>4145</v>
      </c>
      <c r="H21" s="2">
        <v>16855</v>
      </c>
      <c r="I21" s="2">
        <v>269.67</v>
      </c>
    </row>
    <row r="22" spans="1:9" ht="20" customHeight="1" x14ac:dyDescent="0.2">
      <c r="A22" s="2">
        <f t="shared" si="0"/>
        <v>21</v>
      </c>
      <c r="B22" s="2" t="s">
        <v>86</v>
      </c>
      <c r="C22" s="2" t="s">
        <v>594</v>
      </c>
      <c r="D22" s="3" t="d">
        <v>2015-12-23</v>
      </c>
      <c r="E22" s="3" t="d">
        <v>2016-12-23</v>
      </c>
      <c r="F22" s="2" t="s">
        <v>2</v>
      </c>
      <c r="G22" s="2">
        <v>370</v>
      </c>
      <c r="H22" s="2">
        <v>1459</v>
      </c>
      <c r="I22" s="2">
        <v>479.29</v>
      </c>
    </row>
    <row r="23" spans="1:9" ht="20" customHeight="1" x14ac:dyDescent="0.2">
      <c r="A23" s="2">
        <f t="shared" si="0"/>
        <v>22</v>
      </c>
      <c r="B23" s="2" t="s">
        <v>90</v>
      </c>
      <c r="C23" s="2" t="s">
        <v>595</v>
      </c>
      <c r="D23" s="3" t="d">
        <v>2016-11-27</v>
      </c>
      <c r="E23" s="3" t="d">
        <v>2017-11-27</v>
      </c>
      <c r="F23" s="2" t="s">
        <v>2</v>
      </c>
      <c r="G23" s="2">
        <v>277</v>
      </c>
      <c r="H23" s="2">
        <v>580</v>
      </c>
      <c r="I23" s="2">
        <v>109.39</v>
      </c>
    </row>
    <row r="24" spans="1:9" ht="20" customHeight="1" x14ac:dyDescent="0.2">
      <c r="A24" s="2">
        <f t="shared" si="0"/>
        <v>23</v>
      </c>
      <c r="B24" s="2" t="s">
        <v>91</v>
      </c>
      <c r="C24" s="2" t="s">
        <v>596</v>
      </c>
      <c r="D24" s="3" t="d">
        <v>2017-01-09</v>
      </c>
      <c r="E24" s="3" t="d">
        <v>2018-01-09</v>
      </c>
      <c r="F24" s="2" t="s">
        <v>2</v>
      </c>
      <c r="G24" s="2">
        <v>306</v>
      </c>
      <c r="H24" s="2">
        <v>193</v>
      </c>
      <c r="I24" s="2">
        <v>-31.88</v>
      </c>
    </row>
    <row r="25" spans="1:9" ht="20" customHeight="1" x14ac:dyDescent="0.2">
      <c r="A25" s="2">
        <f t="shared" si="0"/>
        <v>24</v>
      </c>
      <c r="B25" s="2" t="s">
        <v>96</v>
      </c>
      <c r="C25" s="2" t="s">
        <v>597</v>
      </c>
      <c r="D25" s="3" t="d">
        <v>2017-04-04</v>
      </c>
      <c r="E25" s="3" t="d">
        <v>2018-04-04</v>
      </c>
      <c r="F25" s="2" t="s">
        <v>2</v>
      </c>
      <c r="G25" s="2">
        <v>139</v>
      </c>
      <c r="H25" s="2">
        <v>120</v>
      </c>
      <c r="I25" s="2">
        <v>29.5</v>
      </c>
    </row>
    <row r="26" spans="1:9" ht="20" customHeight="1" x14ac:dyDescent="0.2">
      <c r="A26" s="2">
        <f t="shared" si="0"/>
        <v>25</v>
      </c>
      <c r="B26" s="2" t="s">
        <v>101</v>
      </c>
      <c r="C26" s="2" t="s">
        <v>598</v>
      </c>
      <c r="D26" s="3" t="d">
        <v>2017-07-25</v>
      </c>
      <c r="E26" s="3" t="d">
        <v>2018-07-25</v>
      </c>
      <c r="F26" s="2" t="s">
        <v>2</v>
      </c>
      <c r="G26" s="2">
        <v>184</v>
      </c>
      <c r="H26" s="2">
        <v>144</v>
      </c>
      <c r="I26" s="2">
        <v>-13.91</v>
      </c>
    </row>
    <row r="27" spans="1:9" ht="20" customHeight="1" x14ac:dyDescent="0.2">
      <c r="A27" s="2">
        <f t="shared" si="0"/>
        <v>26</v>
      </c>
      <c r="B27" s="2" t="s">
        <v>106</v>
      </c>
      <c r="C27" s="2" t="s">
        <v>599</v>
      </c>
      <c r="D27" s="3" t="d">
        <v>2017-09-12</v>
      </c>
      <c r="E27" s="3" t="d">
        <v>2018-09-12</v>
      </c>
      <c r="F27" s="2" t="s">
        <v>2</v>
      </c>
      <c r="G27" s="2">
        <v>224</v>
      </c>
      <c r="H27" s="2">
        <v>149</v>
      </c>
      <c r="I27" s="2">
        <v>-15.96</v>
      </c>
    </row>
    <row r="28" spans="1:9" ht="20" customHeight="1" x14ac:dyDescent="0.2">
      <c r="A28" s="2">
        <f t="shared" si="0"/>
        <v>27</v>
      </c>
      <c r="B28" s="2" t="s">
        <v>108</v>
      </c>
      <c r="C28" s="2" t="s">
        <v>600</v>
      </c>
      <c r="D28" s="3" t="d">
        <v>2017-11-20</v>
      </c>
      <c r="E28" s="3" t="d">
        <v>2018-11-20</v>
      </c>
      <c r="F28" s="2" t="s">
        <v>2</v>
      </c>
      <c r="G28" s="2">
        <v>121</v>
      </c>
      <c r="H28" s="2">
        <v>121</v>
      </c>
      <c r="I28" s="2">
        <v>0</v>
      </c>
    </row>
    <row r="29" spans="1:9" ht="20" customHeight="1" x14ac:dyDescent="0.2">
      <c r="A29" s="2">
        <f t="shared" si="0"/>
        <v>28</v>
      </c>
      <c r="B29" s="2" t="s">
        <v>109</v>
      </c>
      <c r="C29" s="2" t="s">
        <v>601</v>
      </c>
      <c r="D29" s="3" t="d">
        <v>2018-01-17</v>
      </c>
      <c r="E29" s="3" t="d">
        <v>2019-01-17</v>
      </c>
      <c r="F29" s="2" t="s">
        <v>2</v>
      </c>
      <c r="G29" s="2">
        <v>10.15</v>
      </c>
      <c r="H29" s="2">
        <v>9.33</v>
      </c>
      <c r="I29" s="2">
        <v>-8.08</v>
      </c>
    </row>
    <row r="30" spans="1:9" ht="20" customHeight="1" x14ac:dyDescent="0.2">
      <c r="A30" s="2">
        <f t="shared" si="0"/>
        <v>29</v>
      </c>
      <c r="B30" s="2" t="s">
        <v>134</v>
      </c>
      <c r="C30" s="2" t="s">
        <v>602</v>
      </c>
      <c r="D30" s="3" t="d">
        <v>2019-11-21</v>
      </c>
      <c r="E30" s="3" t="d">
        <v>2020-11-21</v>
      </c>
      <c r="F30" s="2" t="s">
        <v>2</v>
      </c>
      <c r="G30" s="2">
        <v>121</v>
      </c>
      <c r="H30" s="2">
        <v>160</v>
      </c>
      <c r="I30" s="2">
        <v>41.92</v>
      </c>
    </row>
    <row r="31" spans="1:9" ht="20" customHeight="1" x14ac:dyDescent="0.2">
      <c r="A31" s="2">
        <f t="shared" si="0"/>
        <v>30</v>
      </c>
      <c r="B31" s="2" t="s">
        <v>139</v>
      </c>
      <c r="C31" s="2" t="s">
        <v>603</v>
      </c>
      <c r="D31" s="3" t="d">
        <v>2020-07-15</v>
      </c>
      <c r="E31" s="3" t="d">
        <v>2021-07-15</v>
      </c>
      <c r="F31" s="2" t="s">
        <v>2</v>
      </c>
      <c r="G31" s="2">
        <v>10</v>
      </c>
      <c r="H31" s="2">
        <v>16</v>
      </c>
      <c r="I31" s="2">
        <v>130</v>
      </c>
    </row>
    <row r="32" spans="1:9" ht="20" customHeight="1" x14ac:dyDescent="0.2">
      <c r="A32" s="2">
        <f t="shared" si="0"/>
        <v>31</v>
      </c>
      <c r="B32" s="2" t="s">
        <v>144</v>
      </c>
      <c r="C32" s="2" t="s">
        <v>604</v>
      </c>
      <c r="D32" s="3" t="d">
        <v>2020-09-14</v>
      </c>
      <c r="E32" s="3" t="d">
        <v>2021-09-14</v>
      </c>
      <c r="F32" s="2" t="s">
        <v>2</v>
      </c>
      <c r="G32" s="2">
        <v>1021</v>
      </c>
      <c r="H32" s="2">
        <v>1051</v>
      </c>
      <c r="I32" s="2">
        <v>2.35</v>
      </c>
    </row>
    <row r="33" spans="1:9" ht="20" customHeight="1" x14ac:dyDescent="0.2">
      <c r="A33" s="2">
        <f t="shared" si="0"/>
        <v>32</v>
      </c>
      <c r="B33" s="2" t="s">
        <v>147</v>
      </c>
      <c r="C33" s="2" t="s">
        <v>605</v>
      </c>
      <c r="D33" s="3" t="d">
        <v>2020-11-10</v>
      </c>
      <c r="E33" s="3" t="d">
        <v>2021-11-10</v>
      </c>
      <c r="F33" s="2" t="s">
        <v>2</v>
      </c>
      <c r="G33" s="2">
        <v>1026</v>
      </c>
      <c r="H33" s="2">
        <v>996</v>
      </c>
      <c r="I33" s="2">
        <v>-2.0499999999999998</v>
      </c>
    </row>
    <row r="34" spans="1:9" ht="20" customHeight="1" x14ac:dyDescent="0.2">
      <c r="A34" s="2">
        <f t="shared" si="0"/>
        <v>33</v>
      </c>
      <c r="B34" s="2" t="s">
        <v>148</v>
      </c>
      <c r="C34" s="2">
        <v>2</v>
      </c>
      <c r="D34" s="3" t="d">
        <v>2020-11-22</v>
      </c>
      <c r="E34" s="3" t="d">
        <v>2021-11-22</v>
      </c>
      <c r="F34" s="2" t="s">
        <v>2</v>
      </c>
      <c r="G34" s="2">
        <v>9.9</v>
      </c>
      <c r="H34" s="2">
        <v>10.1</v>
      </c>
      <c r="I34" s="2">
        <v>406.06</v>
      </c>
    </row>
    <row r="35" spans="1:9" ht="20" customHeight="1" x14ac:dyDescent="0.2">
      <c r="A35" s="2">
        <f t="shared" si="0"/>
        <v>34</v>
      </c>
      <c r="B35" s="2" t="s">
        <v>154</v>
      </c>
      <c r="C35" s="2" t="s">
        <v>606</v>
      </c>
      <c r="D35" s="3" t="d">
        <v>2021-02-25</v>
      </c>
      <c r="E35" s="3" t="d">
        <v>2022-02-25</v>
      </c>
      <c r="F35" s="2" t="s">
        <v>2</v>
      </c>
      <c r="G35" s="2">
        <v>10.29</v>
      </c>
      <c r="H35" s="2">
        <v>9.3000000000000007</v>
      </c>
      <c r="I35" s="2">
        <v>28.38</v>
      </c>
    </row>
    <row r="36" spans="1:9" ht="20" customHeight="1" x14ac:dyDescent="0.2">
      <c r="A36" s="2">
        <f t="shared" si="0"/>
        <v>35</v>
      </c>
      <c r="B36" s="2" t="s">
        <v>157</v>
      </c>
      <c r="C36" s="2" t="s">
        <v>607</v>
      </c>
      <c r="D36" s="3" t="d">
        <v>2021-04-19</v>
      </c>
      <c r="E36" s="3" t="d">
        <v>2022-04-19</v>
      </c>
      <c r="F36" s="2" t="s">
        <v>2</v>
      </c>
      <c r="G36" s="2">
        <v>9.9700000000000006</v>
      </c>
      <c r="H36" s="2">
        <v>9.1300000000000008</v>
      </c>
      <c r="I36" s="2">
        <v>41.73</v>
      </c>
    </row>
    <row r="37" spans="1:9" ht="20" customHeight="1" x14ac:dyDescent="0.2">
      <c r="A37" s="2">
        <f t="shared" si="0"/>
        <v>36</v>
      </c>
      <c r="B37" s="2" t="s">
        <v>158</v>
      </c>
      <c r="C37" s="2" t="s">
        <v>608</v>
      </c>
      <c r="D37" s="3" t="d">
        <v>2021-04-26</v>
      </c>
      <c r="E37" s="3" t="d">
        <v>2022-04-26</v>
      </c>
      <c r="F37" s="2" t="s">
        <v>2</v>
      </c>
      <c r="G37" s="2">
        <v>1050</v>
      </c>
      <c r="H37" s="2">
        <v>962.3</v>
      </c>
      <c r="I37" s="2">
        <v>-10.14</v>
      </c>
    </row>
    <row r="38" spans="1:9" ht="20" customHeight="1" x14ac:dyDescent="0.2">
      <c r="A38" s="2">
        <f t="shared" si="0"/>
        <v>37</v>
      </c>
      <c r="B38" s="2" t="s">
        <v>160</v>
      </c>
      <c r="C38" s="2" t="s">
        <v>609</v>
      </c>
      <c r="D38" s="3" t="d">
        <v>2021-04-28</v>
      </c>
      <c r="E38" s="3" t="d">
        <v>2022-04-28</v>
      </c>
      <c r="F38" s="2" t="s">
        <v>2</v>
      </c>
      <c r="G38" s="2">
        <v>1055</v>
      </c>
      <c r="H38" s="2">
        <v>980.1</v>
      </c>
      <c r="I38" s="2">
        <v>-6.16</v>
      </c>
    </row>
    <row r="39" spans="1:9" ht="20" customHeight="1" x14ac:dyDescent="0.2">
      <c r="A39" s="2">
        <f t="shared" si="0"/>
        <v>38</v>
      </c>
      <c r="B39" s="2" t="s">
        <v>162</v>
      </c>
      <c r="C39" s="2" t="s">
        <v>610</v>
      </c>
      <c r="D39" s="3" t="d">
        <v>2021-05-27</v>
      </c>
      <c r="E39" s="3" t="d">
        <v>2022-05-27</v>
      </c>
      <c r="F39" s="2" t="s">
        <v>2</v>
      </c>
      <c r="G39" s="2">
        <v>1000</v>
      </c>
      <c r="H39" s="2">
        <v>931</v>
      </c>
      <c r="I39" s="2">
        <v>-6.81</v>
      </c>
    </row>
    <row r="40" spans="1:9" ht="20" customHeight="1" x14ac:dyDescent="0.2">
      <c r="A40" s="2">
        <f t="shared" si="0"/>
        <v>39</v>
      </c>
      <c r="B40" s="2" t="s">
        <v>165</v>
      </c>
      <c r="C40" s="2" t="s">
        <v>611</v>
      </c>
      <c r="D40" s="3" t="d">
        <v>2021-06-22</v>
      </c>
      <c r="E40" s="3" t="d">
        <v>2022-06-22</v>
      </c>
      <c r="F40" s="2" t="s">
        <v>2</v>
      </c>
      <c r="G40" s="2">
        <v>10.57</v>
      </c>
      <c r="H40" s="2">
        <v>7.9</v>
      </c>
      <c r="I40" s="2">
        <v>-25.26</v>
      </c>
    </row>
    <row r="41" spans="1:9" ht="20" customHeight="1" x14ac:dyDescent="0.2">
      <c r="A41" s="2">
        <f t="shared" si="0"/>
        <v>40</v>
      </c>
      <c r="B41" s="2" t="s">
        <v>167</v>
      </c>
      <c r="C41" s="2" t="s">
        <v>612</v>
      </c>
      <c r="D41" s="3" t="d">
        <v>2021-07-04</v>
      </c>
      <c r="E41" s="3" t="d">
        <v>2022-07-04</v>
      </c>
      <c r="F41" s="2" t="s">
        <v>2</v>
      </c>
      <c r="G41" s="2">
        <v>1155</v>
      </c>
      <c r="H41" s="2">
        <v>1125</v>
      </c>
      <c r="I41" s="2">
        <v>-2.6</v>
      </c>
    </row>
    <row r="42" spans="1:9" ht="20" customHeight="1" x14ac:dyDescent="0.2">
      <c r="A42" s="2">
        <f t="shared" si="0"/>
        <v>41</v>
      </c>
      <c r="B42" s="2" t="s">
        <v>169</v>
      </c>
      <c r="C42" s="2" t="s">
        <v>613</v>
      </c>
      <c r="D42" s="3" t="d">
        <v>2021-09-02</v>
      </c>
      <c r="E42" s="3" t="d">
        <v>2022-09-02</v>
      </c>
      <c r="F42" s="2" t="s">
        <v>2</v>
      </c>
      <c r="G42" s="2">
        <v>10.1</v>
      </c>
      <c r="H42" s="2">
        <v>7.74</v>
      </c>
      <c r="I42" s="2">
        <v>-23.37</v>
      </c>
    </row>
    <row r="43" spans="1:9" ht="20" customHeight="1" x14ac:dyDescent="0.2">
      <c r="A43" s="2">
        <f t="shared" si="0"/>
        <v>42</v>
      </c>
      <c r="B43" s="2" t="s">
        <v>170</v>
      </c>
      <c r="C43" s="2">
        <v>30</v>
      </c>
      <c r="D43" s="3" t="d">
        <v>2021-09-07</v>
      </c>
      <c r="E43" s="3" t="d">
        <v>2022-09-07</v>
      </c>
      <c r="F43" s="2" t="s">
        <v>2</v>
      </c>
      <c r="G43" s="2">
        <v>9.99</v>
      </c>
      <c r="H43" s="2">
        <v>7.9</v>
      </c>
      <c r="I43" s="2">
        <v>-20.92</v>
      </c>
    </row>
    <row r="44" spans="1:9" ht="20" customHeight="1" x14ac:dyDescent="0.2">
      <c r="A44" s="2">
        <f t="shared" si="0"/>
        <v>43</v>
      </c>
      <c r="B44" s="2" t="s">
        <v>174</v>
      </c>
      <c r="C44" s="2" t="s">
        <v>614</v>
      </c>
      <c r="D44" s="3" t="d">
        <v>2021-10-21</v>
      </c>
      <c r="E44" s="3" t="d">
        <v>2022-10-21</v>
      </c>
      <c r="F44" s="2" t="s">
        <v>2</v>
      </c>
      <c r="G44" s="2">
        <v>1000</v>
      </c>
      <c r="H44" s="2">
        <v>777.5</v>
      </c>
      <c r="I44" s="2">
        <v>-20.86</v>
      </c>
    </row>
    <row r="45" spans="1:9" ht="20" customHeight="1" x14ac:dyDescent="0.2">
      <c r="A45" s="2">
        <f t="shared" si="0"/>
        <v>44</v>
      </c>
      <c r="B45" s="2" t="s">
        <v>177</v>
      </c>
      <c r="C45" s="2">
        <v>1</v>
      </c>
      <c r="D45" s="3" t="d">
        <v>2021-11-18</v>
      </c>
      <c r="E45" s="3" t="d">
        <v>2022-11-18</v>
      </c>
      <c r="F45" s="2" t="s">
        <v>2</v>
      </c>
      <c r="G45" s="2">
        <v>9.66</v>
      </c>
      <c r="H45" s="2">
        <v>7.3</v>
      </c>
      <c r="I45" s="2">
        <v>-24.64</v>
      </c>
    </row>
    <row r="46" spans="1:9" ht="20" customHeight="1" x14ac:dyDescent="0.2">
      <c r="A46" s="2">
        <f t="shared" si="0"/>
        <v>45</v>
      </c>
      <c r="B46" s="2" t="s">
        <v>179</v>
      </c>
      <c r="C46" s="2" t="s">
        <v>615</v>
      </c>
      <c r="D46" s="3" t="d">
        <v>2021-11-24</v>
      </c>
      <c r="E46" s="3" t="d">
        <v>2022-11-24</v>
      </c>
      <c r="F46" s="2" t="s">
        <v>2</v>
      </c>
      <c r="G46" s="2">
        <v>1000</v>
      </c>
      <c r="H46" s="2">
        <v>785.4</v>
      </c>
      <c r="I46" s="2">
        <v>-21.46</v>
      </c>
    </row>
    <row r="47" spans="1:9" ht="20" customHeight="1" x14ac:dyDescent="0.2">
      <c r="A47" s="2">
        <f t="shared" si="0"/>
        <v>46</v>
      </c>
      <c r="B47" s="2" t="s">
        <v>185</v>
      </c>
      <c r="C47" s="2" t="s">
        <v>616</v>
      </c>
      <c r="D47" s="3" t="d">
        <v>2022-02-06</v>
      </c>
      <c r="E47" s="3" t="d">
        <v>2023-02-06</v>
      </c>
      <c r="F47" s="2" t="s">
        <v>2</v>
      </c>
      <c r="G47" s="2">
        <v>1000</v>
      </c>
      <c r="H47" s="2">
        <v>751</v>
      </c>
      <c r="I47" s="2">
        <v>-25</v>
      </c>
    </row>
    <row r="48" spans="1:9" ht="20" customHeight="1" x14ac:dyDescent="0.2">
      <c r="A48" s="2">
        <f t="shared" si="0"/>
        <v>47</v>
      </c>
      <c r="B48" s="2" t="s">
        <v>189</v>
      </c>
      <c r="C48" s="2" t="s">
        <v>617</v>
      </c>
      <c r="D48" s="3" t="d">
        <v>2022-04-24</v>
      </c>
      <c r="E48" s="3" t="d">
        <v>2023-04-24</v>
      </c>
      <c r="F48" s="2" t="s">
        <v>2</v>
      </c>
      <c r="G48" s="2">
        <v>1000</v>
      </c>
      <c r="H48" s="2">
        <v>770.1</v>
      </c>
      <c r="I48" s="2">
        <v>-22.5</v>
      </c>
    </row>
    <row r="49" spans="1:9" ht="20" customHeight="1" x14ac:dyDescent="0.2">
      <c r="A49" s="2">
        <f t="shared" si="0"/>
        <v>48</v>
      </c>
      <c r="B49" s="2" t="s">
        <v>190</v>
      </c>
      <c r="C49" s="2" t="s">
        <v>618</v>
      </c>
      <c r="D49" s="3" t="d">
        <v>2022-05-12</v>
      </c>
      <c r="E49" s="3" t="d">
        <v>2023-05-12</v>
      </c>
      <c r="F49" s="2" t="s">
        <v>2</v>
      </c>
      <c r="G49" s="2">
        <v>1236.0999999999999</v>
      </c>
      <c r="H49" s="2">
        <v>556</v>
      </c>
      <c r="I49" s="2">
        <v>-48.46</v>
      </c>
    </row>
    <row r="50" spans="1:9" ht="20" customHeight="1" x14ac:dyDescent="0.2">
      <c r="A50" s="2">
        <f t="shared" si="0"/>
        <v>49</v>
      </c>
      <c r="B50" s="2" t="s">
        <v>196</v>
      </c>
      <c r="C50" s="2" t="s">
        <v>619</v>
      </c>
      <c r="D50" s="3" t="d">
        <v>2022-07-22</v>
      </c>
      <c r="E50" s="3" t="d">
        <v>2023-07-22</v>
      </c>
      <c r="F50" s="2" t="s">
        <v>2</v>
      </c>
      <c r="G50" s="2">
        <v>1000</v>
      </c>
      <c r="H50" s="2">
        <v>980</v>
      </c>
      <c r="I50" s="2">
        <v>0</v>
      </c>
    </row>
    <row r="51" spans="1:9" ht="20" customHeight="1" x14ac:dyDescent="0.2">
      <c r="A51" s="2">
        <f t="shared" si="0"/>
        <v>50</v>
      </c>
      <c r="B51" s="2" t="s">
        <v>197</v>
      </c>
      <c r="C51" s="2" t="s">
        <v>620</v>
      </c>
      <c r="D51" s="3" t="d">
        <v>2022-07-27</v>
      </c>
      <c r="E51" s="3" t="d">
        <v>2023-07-27</v>
      </c>
      <c r="F51" s="2" t="s">
        <v>2</v>
      </c>
      <c r="G51" s="2">
        <v>1000</v>
      </c>
      <c r="H51" s="2">
        <v>920.7</v>
      </c>
      <c r="I51" s="2">
        <v>2.29</v>
      </c>
    </row>
    <row r="52" spans="1:9" ht="20" customHeight="1" x14ac:dyDescent="0.2">
      <c r="A52" s="2">
        <f t="shared" si="0"/>
        <v>51</v>
      </c>
      <c r="B52" s="2" t="s">
        <v>207</v>
      </c>
      <c r="C52" s="2" t="s">
        <v>621</v>
      </c>
      <c r="D52" s="3" t="d">
        <v>2022-08-18</v>
      </c>
      <c r="E52" s="3" t="d">
        <v>2023-08-18</v>
      </c>
      <c r="F52" s="2" t="s">
        <v>2</v>
      </c>
      <c r="G52" s="2">
        <v>980</v>
      </c>
      <c r="H52" s="2">
        <v>900</v>
      </c>
      <c r="I52" s="2">
        <v>-7.96</v>
      </c>
    </row>
    <row r="53" spans="1:9" ht="20" customHeight="1" x14ac:dyDescent="0.2">
      <c r="A53" s="2">
        <f t="shared" si="0"/>
        <v>52</v>
      </c>
      <c r="B53" s="2" t="s">
        <v>208</v>
      </c>
      <c r="C53" s="2" t="s">
        <v>622</v>
      </c>
      <c r="D53" s="3" t="d">
        <v>2022-08-26</v>
      </c>
      <c r="E53" s="3" t="d">
        <v>2023-08-26</v>
      </c>
      <c r="F53" s="2" t="s">
        <v>2</v>
      </c>
      <c r="G53" s="2">
        <v>103.7</v>
      </c>
      <c r="H53" s="2">
        <v>98.5</v>
      </c>
      <c r="I53" s="2">
        <v>-5.01</v>
      </c>
    </row>
    <row r="54" spans="1:9" ht="20" customHeight="1" x14ac:dyDescent="0.2">
      <c r="A54" s="2">
        <f t="shared" si="0"/>
        <v>53</v>
      </c>
      <c r="B54" s="2" t="s">
        <v>209</v>
      </c>
      <c r="C54" s="2" t="s">
        <v>623</v>
      </c>
      <c r="D54" s="3" t="d">
        <v>2022-08-30</v>
      </c>
      <c r="E54" s="3" t="d">
        <v>2023-08-30</v>
      </c>
      <c r="F54" s="2" t="s">
        <v>2</v>
      </c>
      <c r="G54" s="2">
        <v>231</v>
      </c>
      <c r="H54" s="2">
        <v>423.5</v>
      </c>
      <c r="I54" s="2">
        <v>83.33</v>
      </c>
    </row>
    <row r="55" spans="1:9" ht="20" customHeight="1" x14ac:dyDescent="0.2">
      <c r="A55" s="2">
        <f t="shared" si="0"/>
        <v>54</v>
      </c>
      <c r="B55" s="2" t="s">
        <v>215</v>
      </c>
      <c r="C55" s="2" t="s">
        <v>624</v>
      </c>
      <c r="D55" s="3" t="d">
        <v>2022-10-16</v>
      </c>
      <c r="E55" s="3" t="d">
        <v>2023-10-16</v>
      </c>
      <c r="F55" s="2" t="s">
        <v>2</v>
      </c>
      <c r="G55" s="2">
        <v>1000</v>
      </c>
      <c r="H55" s="2">
        <v>925</v>
      </c>
      <c r="I55" s="2">
        <v>-7.5</v>
      </c>
    </row>
    <row r="56" spans="1:9" ht="20" customHeight="1" x14ac:dyDescent="0.2">
      <c r="A56" s="2">
        <f t="shared" si="0"/>
        <v>55</v>
      </c>
      <c r="B56" s="2" t="s">
        <v>219</v>
      </c>
      <c r="C56" s="2" t="s">
        <v>625</v>
      </c>
      <c r="D56" s="3" t="d">
        <v>2022-11-30</v>
      </c>
      <c r="E56" s="3" t="d">
        <v>2023-11-30</v>
      </c>
      <c r="F56" s="2" t="s">
        <v>2</v>
      </c>
      <c r="G56" s="2">
        <v>1000</v>
      </c>
      <c r="H56" s="2">
        <v>852.7</v>
      </c>
      <c r="I56" s="2">
        <v>-16.399999999999999</v>
      </c>
    </row>
    <row r="57" spans="1:9" ht="20" customHeight="1" x14ac:dyDescent="0.2">
      <c r="A57" s="2">
        <f t="shared" si="0"/>
        <v>56</v>
      </c>
      <c r="B57" s="2" t="s">
        <v>230</v>
      </c>
      <c r="C57" s="2" t="s">
        <v>626</v>
      </c>
      <c r="D57" s="3" t="d">
        <v>2023-03-15</v>
      </c>
      <c r="E57" s="3" t="d">
        <v>2024-03-15</v>
      </c>
      <c r="F57" s="2" t="s">
        <v>2</v>
      </c>
      <c r="G57" s="2">
        <v>10</v>
      </c>
      <c r="H57" s="2">
        <v>8.5</v>
      </c>
      <c r="I57" s="2">
        <v>-14.8</v>
      </c>
    </row>
    <row r="58" spans="1:9" ht="20" customHeight="1" x14ac:dyDescent="0.2">
      <c r="A58" s="2">
        <f t="shared" si="0"/>
        <v>57</v>
      </c>
      <c r="B58" s="2" t="s">
        <v>231</v>
      </c>
      <c r="C58" s="2" t="s">
        <v>627</v>
      </c>
      <c r="D58" s="3" t="d">
        <v>2023-03-20</v>
      </c>
      <c r="E58" s="3" t="d">
        <v>2024-03-20</v>
      </c>
      <c r="F58" s="2" t="s">
        <v>2</v>
      </c>
      <c r="G58" s="2">
        <v>111.3</v>
      </c>
      <c r="H58" s="2">
        <v>137.5</v>
      </c>
      <c r="I58" s="2">
        <v>23.54</v>
      </c>
    </row>
    <row r="59" spans="1:9" ht="20" customHeight="1" x14ac:dyDescent="0.2">
      <c r="A59" s="2">
        <f t="shared" si="0"/>
        <v>58</v>
      </c>
      <c r="B59" s="2" t="s">
        <v>236</v>
      </c>
      <c r="C59" s="2" t="s">
        <v>628</v>
      </c>
      <c r="D59" s="3" t="d">
        <v>2023-04-03</v>
      </c>
      <c r="E59" s="3" t="d">
        <v>2024-04-03</v>
      </c>
      <c r="F59" s="2" t="s">
        <v>2</v>
      </c>
      <c r="G59" s="2">
        <v>10</v>
      </c>
      <c r="H59" s="2">
        <v>9.5500000000000007</v>
      </c>
      <c r="I59" s="2">
        <v>-4.5</v>
      </c>
    </row>
    <row r="60" spans="1:9" ht="20" customHeight="1" x14ac:dyDescent="0.2">
      <c r="A60" s="2">
        <f t="shared" si="0"/>
        <v>59</v>
      </c>
      <c r="B60" s="2" t="s">
        <v>241</v>
      </c>
      <c r="C60" s="2" t="s">
        <v>629</v>
      </c>
      <c r="D60" s="3" t="d">
        <v>2023-04-20</v>
      </c>
      <c r="E60" s="3" t="d">
        <v>2024-04-20</v>
      </c>
      <c r="F60" s="2" t="s">
        <v>2</v>
      </c>
      <c r="G60" s="2">
        <v>10</v>
      </c>
      <c r="H60" s="2">
        <v>7.85</v>
      </c>
      <c r="I60" s="2">
        <v>-23</v>
      </c>
    </row>
    <row r="61" spans="1:9" ht="20" customHeight="1" x14ac:dyDescent="0.2">
      <c r="A61" s="2">
        <f t="shared" si="0"/>
        <v>60</v>
      </c>
      <c r="B61" s="2" t="s">
        <v>242</v>
      </c>
      <c r="C61" s="2" t="s">
        <v>630</v>
      </c>
      <c r="D61" s="3" t="d">
        <v>2023-04-27</v>
      </c>
      <c r="E61" s="3" t="d">
        <v>2024-04-27</v>
      </c>
      <c r="F61" s="2" t="s">
        <v>2</v>
      </c>
      <c r="G61" s="2">
        <v>9</v>
      </c>
      <c r="H61" s="2">
        <v>8.16</v>
      </c>
      <c r="I61" s="2">
        <v>-12.78</v>
      </c>
    </row>
    <row r="62" spans="1:9" ht="20" customHeight="1" x14ac:dyDescent="0.2">
      <c r="A62" s="2">
        <f t="shared" si="0"/>
        <v>61</v>
      </c>
      <c r="B62" s="2" t="s">
        <v>251</v>
      </c>
      <c r="C62" s="2" t="s">
        <v>631</v>
      </c>
      <c r="D62" s="3" t="d">
        <v>2023-06-08</v>
      </c>
      <c r="E62" s="3" t="d">
        <v>2024-06-08</v>
      </c>
      <c r="F62" s="2" t="s">
        <v>2</v>
      </c>
      <c r="G62" s="2">
        <v>9.81</v>
      </c>
      <c r="H62" s="2">
        <v>8.8699999999999992</v>
      </c>
      <c r="I62" s="2">
        <v>-8.77</v>
      </c>
    </row>
    <row r="63" spans="1:9" ht="20" customHeight="1" x14ac:dyDescent="0.2">
      <c r="A63" s="2">
        <f t="shared" si="0"/>
        <v>62</v>
      </c>
      <c r="B63" s="2" t="s">
        <v>258</v>
      </c>
      <c r="C63" s="2" t="s">
        <v>632</v>
      </c>
      <c r="D63" s="3" t="d">
        <v>2023-07-10</v>
      </c>
      <c r="E63" s="3" t="d">
        <v>2024-07-10</v>
      </c>
      <c r="F63" s="2" t="s">
        <v>2</v>
      </c>
      <c r="G63" s="2">
        <v>1040</v>
      </c>
      <c r="H63" s="2">
        <v>1055</v>
      </c>
      <c r="I63" s="2">
        <v>1.44</v>
      </c>
    </row>
    <row r="64" spans="1:9" ht="20" customHeight="1" x14ac:dyDescent="0.2">
      <c r="A64" s="2">
        <f t="shared" si="0"/>
        <v>63</v>
      </c>
      <c r="B64" s="2" t="s">
        <v>260</v>
      </c>
      <c r="C64" s="2" t="s">
        <v>633</v>
      </c>
      <c r="D64" s="3" t="d">
        <v>2023-07-30</v>
      </c>
      <c r="E64" s="3" t="d">
        <v>2024-07-30</v>
      </c>
      <c r="F64" s="2" t="s">
        <v>2</v>
      </c>
      <c r="G64" s="2">
        <v>9.85</v>
      </c>
      <c r="H64" s="2">
        <v>10.01</v>
      </c>
      <c r="I64" s="2">
        <v>1.62</v>
      </c>
    </row>
    <row r="65" spans="1:9" ht="20" customHeight="1" x14ac:dyDescent="0.2">
      <c r="A65" s="2">
        <f t="shared" si="0"/>
        <v>64</v>
      </c>
      <c r="B65" s="2" t="s">
        <v>266</v>
      </c>
      <c r="C65" s="2" t="s">
        <v>634</v>
      </c>
      <c r="D65" s="3" t="d">
        <v>2023-08-14</v>
      </c>
      <c r="E65" s="3" t="d">
        <v>2024-08-14</v>
      </c>
      <c r="F65" s="2" t="s">
        <v>2</v>
      </c>
      <c r="G65" s="2">
        <v>9.81</v>
      </c>
      <c r="H65" s="2">
        <v>9.91</v>
      </c>
      <c r="I65" s="2">
        <v>1.02</v>
      </c>
    </row>
    <row r="66" spans="1:9" ht="20" customHeight="1" x14ac:dyDescent="0.2">
      <c r="A66" s="2">
        <f t="shared" si="0"/>
        <v>65</v>
      </c>
      <c r="B66" s="2" t="s">
        <v>270</v>
      </c>
      <c r="C66" s="2" t="s">
        <v>628</v>
      </c>
      <c r="D66" s="3" t="d">
        <v>2023-09-21</v>
      </c>
      <c r="E66" s="3" t="d">
        <v>2024-09-21</v>
      </c>
      <c r="F66" s="2" t="s">
        <v>2</v>
      </c>
      <c r="G66" s="2">
        <v>10</v>
      </c>
      <c r="H66" s="2">
        <v>8.5</v>
      </c>
      <c r="I66" s="2">
        <v>31.1</v>
      </c>
    </row>
    <row r="67" spans="1:9" ht="20" customHeight="1" x14ac:dyDescent="0.2">
      <c r="A67" s="2">
        <f t="shared" ref="A67:A108" si="1">ROW()-1</f>
        <v>66</v>
      </c>
      <c r="B67" s="2" t="s">
        <v>283</v>
      </c>
      <c r="C67" s="2" t="s">
        <v>635</v>
      </c>
      <c r="D67" s="3" t="d">
        <v>2023-12-18</v>
      </c>
      <c r="E67" s="3" t="d">
        <v>2024-12-18</v>
      </c>
      <c r="F67" s="2" t="s">
        <v>2</v>
      </c>
      <c r="G67" s="2">
        <v>1000</v>
      </c>
      <c r="H67" s="2">
        <v>1117</v>
      </c>
      <c r="I67" s="2">
        <v>11.7</v>
      </c>
    </row>
    <row r="68" spans="1:9" ht="20" customHeight="1" x14ac:dyDescent="0.2">
      <c r="A68" s="2">
        <f t="shared" si="1"/>
        <v>67</v>
      </c>
      <c r="B68" s="2" t="s">
        <v>285</v>
      </c>
      <c r="C68" s="2" t="s">
        <v>636</v>
      </c>
      <c r="D68" s="3" t="d">
        <v>2023-12-20</v>
      </c>
      <c r="E68" s="3" t="d">
        <v>2024-12-20</v>
      </c>
      <c r="F68" s="2" t="s">
        <v>2</v>
      </c>
      <c r="G68" s="2">
        <v>950</v>
      </c>
      <c r="H68" s="2">
        <v>1050</v>
      </c>
      <c r="I68" s="2">
        <v>8.43</v>
      </c>
    </row>
    <row r="69" spans="1:9" ht="20" customHeight="1" x14ac:dyDescent="0.2">
      <c r="A69" s="2">
        <f t="shared" si="1"/>
        <v>68</v>
      </c>
      <c r="B69" s="2" t="s">
        <v>289</v>
      </c>
      <c r="C69" s="2" t="s">
        <v>637</v>
      </c>
      <c r="D69" s="3" t="d">
        <v>2024-01-03</v>
      </c>
      <c r="E69" s="3" t="d">
        <v>2025-01-03</v>
      </c>
      <c r="F69" s="2" t="s">
        <v>2</v>
      </c>
      <c r="G69" s="2">
        <v>1000</v>
      </c>
      <c r="H69" s="2">
        <v>1113</v>
      </c>
      <c r="I69" s="2">
        <v>8.8000000000000007</v>
      </c>
    </row>
    <row r="70" spans="1:9" ht="20" customHeight="1" x14ac:dyDescent="0.2">
      <c r="A70" s="2">
        <f t="shared" si="1"/>
        <v>69</v>
      </c>
      <c r="B70" s="2" t="s">
        <v>292</v>
      </c>
      <c r="C70" s="2">
        <v>20</v>
      </c>
      <c r="D70" s="3" t="d">
        <v>2024-01-14</v>
      </c>
      <c r="E70" s="3" t="d">
        <v>2025-01-14</v>
      </c>
      <c r="F70" s="2" t="s">
        <v>2</v>
      </c>
      <c r="G70" s="2">
        <v>10</v>
      </c>
      <c r="H70" s="2">
        <v>10.07</v>
      </c>
      <c r="I70" s="2">
        <v>58.9</v>
      </c>
    </row>
    <row r="71" spans="1:9" ht="20" customHeight="1" x14ac:dyDescent="0.2">
      <c r="A71" s="2">
        <f t="shared" si="1"/>
        <v>70</v>
      </c>
      <c r="B71" s="2" t="s">
        <v>293</v>
      </c>
      <c r="C71" s="2" t="s">
        <v>638</v>
      </c>
      <c r="D71" s="3" t="d">
        <v>2024-02-11</v>
      </c>
      <c r="E71" s="3" t="d">
        <v>2025-02-11</v>
      </c>
      <c r="F71" s="2" t="s">
        <v>2</v>
      </c>
      <c r="G71" s="2">
        <v>9</v>
      </c>
      <c r="H71" s="2">
        <v>8.7100000000000009</v>
      </c>
      <c r="I71" s="2">
        <v>-3.22</v>
      </c>
    </row>
    <row r="72" spans="1:9" ht="20" customHeight="1" x14ac:dyDescent="0.2">
      <c r="A72" s="2">
        <f t="shared" si="1"/>
        <v>71</v>
      </c>
      <c r="B72" s="2" t="s">
        <v>295</v>
      </c>
      <c r="C72" s="2" t="s">
        <v>639</v>
      </c>
      <c r="D72" s="3" t="d">
        <v>2024-04-29</v>
      </c>
      <c r="E72" s="3" t="d">
        <v>2025-04-29</v>
      </c>
      <c r="F72" s="2" t="s">
        <v>2</v>
      </c>
      <c r="G72" s="2">
        <v>1061.2</v>
      </c>
      <c r="H72" s="2">
        <v>1221</v>
      </c>
      <c r="I72" s="2">
        <v>16.940000000000001</v>
      </c>
    </row>
    <row r="73" spans="1:9" ht="20" customHeight="1" x14ac:dyDescent="0.2">
      <c r="A73" s="2">
        <f t="shared" si="1"/>
        <v>72</v>
      </c>
      <c r="B73" s="2" t="s">
        <v>296</v>
      </c>
      <c r="C73" s="2" t="s">
        <v>640</v>
      </c>
      <c r="D73" s="3" t="d">
        <v>2024-04-30</v>
      </c>
      <c r="E73" s="3" t="d">
        <v>2025-04-30</v>
      </c>
      <c r="F73" s="2" t="s">
        <v>2</v>
      </c>
      <c r="G73" s="2">
        <v>1020</v>
      </c>
      <c r="H73" s="2">
        <v>1162</v>
      </c>
      <c r="I73" s="2">
        <v>13.92</v>
      </c>
    </row>
    <row r="74" spans="1:9" ht="20" customHeight="1" x14ac:dyDescent="0.2">
      <c r="A74" s="2">
        <f t="shared" si="1"/>
        <v>73</v>
      </c>
      <c r="B74" s="2" t="s">
        <v>297</v>
      </c>
      <c r="C74" s="2" t="s">
        <v>641</v>
      </c>
      <c r="D74" s="3" t="d">
        <v>2024-05-05</v>
      </c>
      <c r="E74" s="3" t="d">
        <v>2025-05-05</v>
      </c>
      <c r="F74" s="2" t="s">
        <v>2</v>
      </c>
      <c r="G74" s="2">
        <v>10</v>
      </c>
      <c r="H74" s="2">
        <v>8.82</v>
      </c>
      <c r="I74" s="2">
        <v>-11.8</v>
      </c>
    </row>
    <row r="75" spans="1:9" ht="20" customHeight="1" x14ac:dyDescent="0.2">
      <c r="A75" s="2">
        <f t="shared" si="1"/>
        <v>74</v>
      </c>
      <c r="B75" s="2" t="s">
        <v>299</v>
      </c>
      <c r="C75" s="2" t="s">
        <v>642</v>
      </c>
      <c r="D75" s="3" t="d">
        <v>2024-06-03</v>
      </c>
      <c r="E75" s="3" t="d">
        <v>2025-06-03</v>
      </c>
      <c r="F75" s="2" t="s">
        <v>2</v>
      </c>
      <c r="G75" s="2">
        <v>9</v>
      </c>
      <c r="H75" s="2">
        <v>8.44</v>
      </c>
      <c r="I75" s="2">
        <v>-6.22</v>
      </c>
    </row>
    <row r="76" spans="1:9" ht="20" customHeight="1" x14ac:dyDescent="0.2">
      <c r="A76" s="2">
        <f t="shared" si="1"/>
        <v>75</v>
      </c>
      <c r="B76" s="2" t="s">
        <v>300</v>
      </c>
      <c r="C76" s="2" t="s">
        <v>643</v>
      </c>
      <c r="D76" s="3" t="d">
        <v>2024-06-24</v>
      </c>
      <c r="E76" s="3" t="d">
        <v>2025-06-24</v>
      </c>
      <c r="F76" s="2" t="s">
        <v>2</v>
      </c>
      <c r="G76" s="2">
        <v>1020</v>
      </c>
      <c r="H76" s="2">
        <v>1131</v>
      </c>
      <c r="I76" s="2">
        <v>11.89</v>
      </c>
    </row>
    <row r="77" spans="1:9" ht="20" customHeight="1" x14ac:dyDescent="0.2">
      <c r="A77" s="2">
        <f t="shared" si="1"/>
        <v>76</v>
      </c>
      <c r="B77" s="2" t="s">
        <v>303</v>
      </c>
      <c r="C77" s="2" t="s">
        <v>644</v>
      </c>
      <c r="D77" s="3" t="d">
        <v>2025-01-16</v>
      </c>
      <c r="E77" s="3" t="d">
        <v>2026-01-16</v>
      </c>
      <c r="F77" s="2" t="s">
        <v>2</v>
      </c>
      <c r="G77" s="2">
        <v>9.4499999999999993</v>
      </c>
      <c r="H77" s="2">
        <v>9.1</v>
      </c>
      <c r="I77" s="2">
        <v>37.57</v>
      </c>
    </row>
    <row r="78" spans="1:9" ht="20" customHeight="1" x14ac:dyDescent="0.2">
      <c r="A78" s="2">
        <f t="shared" si="1"/>
        <v>77</v>
      </c>
      <c r="B78" s="2" t="s">
        <v>305</v>
      </c>
      <c r="C78" s="2" t="s">
        <v>645</v>
      </c>
      <c r="D78" s="3" t="d">
        <v>2025-02-20</v>
      </c>
      <c r="E78" s="3" t="d">
        <v>2026-02-20</v>
      </c>
      <c r="F78" s="2" t="s">
        <v>2</v>
      </c>
      <c r="G78" s="2">
        <v>9.23</v>
      </c>
      <c r="H78" s="2">
        <v>9.43</v>
      </c>
      <c r="I78" s="2">
        <v>60.35</v>
      </c>
    </row>
    <row r="79" spans="1:9" ht="20" customHeight="1" x14ac:dyDescent="0.2">
      <c r="A79" s="2">
        <f t="shared" si="1"/>
        <v>78</v>
      </c>
      <c r="B79" s="2" t="s">
        <v>306</v>
      </c>
      <c r="C79" s="2" t="s">
        <v>646</v>
      </c>
      <c r="D79" s="3" t="d">
        <v>2025-03-09</v>
      </c>
      <c r="E79" s="3" t="d">
        <v>2026-03-09</v>
      </c>
      <c r="F79" s="2" t="s">
        <v>2</v>
      </c>
      <c r="G79" s="2">
        <v>1100</v>
      </c>
      <c r="H79" s="2">
        <v>1140.7</v>
      </c>
      <c r="I79" s="2">
        <v>5.45</v>
      </c>
    </row>
    <row r="80" spans="1:9" ht="20" customHeight="1" x14ac:dyDescent="0.2">
      <c r="A80" s="2">
        <f t="shared" si="1"/>
        <v>79</v>
      </c>
      <c r="B80" s="2" t="s">
        <v>309</v>
      </c>
      <c r="C80" s="2" t="s">
        <v>628</v>
      </c>
      <c r="D80" s="3" t="d">
        <v>2025-04-21</v>
      </c>
      <c r="E80" s="3" t="d">
        <v>2026-04-21</v>
      </c>
      <c r="F80" s="2" t="s">
        <v>2</v>
      </c>
      <c r="G80" s="2">
        <v>9.23</v>
      </c>
      <c r="H80" s="2">
        <v>9.94</v>
      </c>
      <c r="I80" s="2">
        <v>7.69</v>
      </c>
    </row>
    <row r="81" spans="1:9" ht="20" customHeight="1" x14ac:dyDescent="0.2">
      <c r="A81" s="2">
        <f t="shared" si="1"/>
        <v>80</v>
      </c>
      <c r="B81" s="2" t="s">
        <v>311</v>
      </c>
      <c r="C81" s="2" t="s">
        <v>647</v>
      </c>
      <c r="D81" s="3" t="d">
        <v>2025-05-21</v>
      </c>
      <c r="E81" s="3" t="d">
        <v>2026-05-10</v>
      </c>
      <c r="F81" s="2" t="s">
        <v>2</v>
      </c>
      <c r="G81" s="2">
        <v>1025</v>
      </c>
      <c r="H81" s="2">
        <v>1062</v>
      </c>
      <c r="I81" s="2">
        <v>3.61</v>
      </c>
    </row>
    <row r="82" spans="1:9" ht="20" customHeight="1" x14ac:dyDescent="0.2">
      <c r="A82" s="2">
        <f t="shared" si="1"/>
        <v>81</v>
      </c>
      <c r="B82" s="2" t="s">
        <v>312</v>
      </c>
      <c r="C82" s="2" t="s">
        <v>648</v>
      </c>
      <c r="D82" s="3" t="d">
        <v>2025-05-22</v>
      </c>
      <c r="E82" s="3" t="d">
        <v>2026-05-10</v>
      </c>
      <c r="F82" s="2" t="s">
        <v>2</v>
      </c>
      <c r="G82" s="2">
        <v>9.1</v>
      </c>
      <c r="H82" s="2">
        <v>10.130000000000001</v>
      </c>
      <c r="I82" s="2">
        <v>11.32</v>
      </c>
    </row>
    <row r="83" spans="1:9" ht="20" customHeight="1" x14ac:dyDescent="0.2">
      <c r="A83" s="2">
        <f t="shared" si="1"/>
        <v>82</v>
      </c>
      <c r="B83" s="2" t="s">
        <v>313</v>
      </c>
      <c r="C83" s="2" t="s">
        <v>649</v>
      </c>
      <c r="D83" s="3" t="d">
        <v>2025-05-27</v>
      </c>
      <c r="E83" s="3" t="d">
        <v>2026-05-10</v>
      </c>
      <c r="F83" s="2" t="s">
        <v>2</v>
      </c>
      <c r="G83" s="2">
        <v>318.2</v>
      </c>
      <c r="H83" s="2">
        <v>977.1</v>
      </c>
      <c r="I83" s="2">
        <v>207.07</v>
      </c>
    </row>
    <row r="84" spans="1:9" ht="20" customHeight="1" x14ac:dyDescent="0.2">
      <c r="A84" s="2">
        <f t="shared" si="1"/>
        <v>83</v>
      </c>
      <c r="B84" s="2" t="s">
        <v>314</v>
      </c>
      <c r="C84" s="2" t="s">
        <v>650</v>
      </c>
      <c r="D84" s="3" t="d">
        <v>2025-06-26</v>
      </c>
      <c r="E84" s="3" t="d">
        <v>2026-05-10</v>
      </c>
      <c r="F84" s="2" t="s">
        <v>2</v>
      </c>
      <c r="G84" s="2">
        <v>9.07</v>
      </c>
      <c r="H84" s="2">
        <v>10.130000000000001</v>
      </c>
      <c r="I84" s="2">
        <v>11.69</v>
      </c>
    </row>
    <row r="85" spans="1:9" ht="20" customHeight="1" x14ac:dyDescent="0.2">
      <c r="A85" s="2">
        <f t="shared" si="1"/>
        <v>84</v>
      </c>
      <c r="B85" s="2" t="s">
        <v>315</v>
      </c>
      <c r="C85" s="2" t="s">
        <v>651</v>
      </c>
      <c r="D85" s="3" t="d">
        <v>2025-07-15</v>
      </c>
      <c r="E85" s="3" t="d">
        <v>2026-05-10</v>
      </c>
      <c r="F85" s="2" t="s">
        <v>2</v>
      </c>
      <c r="G85" s="2">
        <v>1001</v>
      </c>
      <c r="H85" s="2">
        <v>1035.7</v>
      </c>
      <c r="I85" s="2">
        <v>3.47</v>
      </c>
    </row>
    <row r="86" spans="1:9" ht="20" customHeight="1" x14ac:dyDescent="0.2">
      <c r="A86" s="2">
        <f t="shared" si="1"/>
        <v>85</v>
      </c>
      <c r="B86" s="2" t="s">
        <v>316</v>
      </c>
      <c r="C86" s="2" t="s">
        <v>652</v>
      </c>
      <c r="D86" s="3" t="d">
        <v>2025-07-17</v>
      </c>
      <c r="E86" s="3" t="d">
        <v>2026-05-10</v>
      </c>
      <c r="F86" s="2" t="s">
        <v>2</v>
      </c>
      <c r="G86" s="2">
        <v>402.7</v>
      </c>
      <c r="H86" s="2">
        <v>819.9</v>
      </c>
      <c r="I86" s="2">
        <v>103.6</v>
      </c>
    </row>
    <row r="87" spans="1:9" ht="20" customHeight="1" x14ac:dyDescent="0.2">
      <c r="A87" s="2">
        <f t="shared" si="1"/>
        <v>86</v>
      </c>
      <c r="B87" s="2" t="s">
        <v>317</v>
      </c>
      <c r="C87" s="2" t="s">
        <v>653</v>
      </c>
      <c r="D87" s="3" t="d">
        <v>2025-07-20</v>
      </c>
      <c r="E87" s="3" t="d">
        <v>2026-05-10</v>
      </c>
      <c r="F87" s="2" t="s">
        <v>2</v>
      </c>
      <c r="G87" s="2">
        <v>394.9</v>
      </c>
      <c r="H87" s="2">
        <v>684</v>
      </c>
      <c r="I87" s="2">
        <v>73.209999999999994</v>
      </c>
    </row>
    <row r="88" spans="1:9" ht="20" customHeight="1" x14ac:dyDescent="0.2">
      <c r="A88" s="2">
        <f t="shared" si="1"/>
        <v>87</v>
      </c>
      <c r="B88" s="2" t="s">
        <v>318</v>
      </c>
      <c r="C88" s="2" t="s">
        <v>654</v>
      </c>
      <c r="D88" s="3" t="d">
        <v>2025-08-04</v>
      </c>
      <c r="E88" s="3" t="d">
        <v>2026-05-10</v>
      </c>
      <c r="F88" s="2" t="s">
        <v>2</v>
      </c>
      <c r="G88" s="2">
        <v>982.1</v>
      </c>
      <c r="H88" s="2">
        <v>1060.0999999999999</v>
      </c>
      <c r="I88" s="2">
        <v>7.94</v>
      </c>
    </row>
    <row r="89" spans="1:9" ht="20" customHeight="1" x14ac:dyDescent="0.2">
      <c r="A89" s="2">
        <f t="shared" si="1"/>
        <v>88</v>
      </c>
      <c r="B89" s="2" t="s">
        <v>319</v>
      </c>
      <c r="C89" s="2" t="s">
        <v>655</v>
      </c>
      <c r="D89" s="3" t="d">
        <v>2025-08-20</v>
      </c>
      <c r="E89" s="3" t="d">
        <v>2026-05-10</v>
      </c>
      <c r="F89" s="2" t="s">
        <v>2</v>
      </c>
      <c r="G89" s="2">
        <v>321.3</v>
      </c>
      <c r="H89" s="2">
        <v>515</v>
      </c>
      <c r="I89" s="2">
        <v>60.29</v>
      </c>
    </row>
    <row r="90" spans="1:9" ht="20" customHeight="1" x14ac:dyDescent="0.2">
      <c r="A90" s="2">
        <f t="shared" si="1"/>
        <v>89</v>
      </c>
      <c r="B90" s="2" t="s">
        <v>320</v>
      </c>
      <c r="C90" s="2" t="s">
        <v>628</v>
      </c>
      <c r="D90" s="3" t="d">
        <v>2025-08-28</v>
      </c>
      <c r="E90" s="3" t="d">
        <v>2026-05-10</v>
      </c>
      <c r="F90" s="2" t="s">
        <v>2</v>
      </c>
      <c r="G90" s="2">
        <v>10</v>
      </c>
      <c r="H90" s="2">
        <v>9.3000000000000007</v>
      </c>
      <c r="I90" s="2">
        <v>-7</v>
      </c>
    </row>
    <row r="91" spans="1:9" ht="20" customHeight="1" x14ac:dyDescent="0.2">
      <c r="A91" s="2">
        <f t="shared" si="1"/>
        <v>90</v>
      </c>
      <c r="B91" s="2" t="s">
        <v>321</v>
      </c>
      <c r="C91" s="2" t="s">
        <v>656</v>
      </c>
      <c r="D91" s="3" t="d">
        <v>2025-09-01</v>
      </c>
      <c r="E91" s="3" t="d">
        <v>2026-05-10</v>
      </c>
      <c r="F91" s="2" t="s">
        <v>2</v>
      </c>
      <c r="G91" s="2">
        <v>267.5</v>
      </c>
      <c r="H91" s="2">
        <v>909.9</v>
      </c>
      <c r="I91" s="2">
        <v>240.15</v>
      </c>
    </row>
    <row r="92" spans="1:9" ht="20" customHeight="1" x14ac:dyDescent="0.2">
      <c r="A92" s="2">
        <f t="shared" si="1"/>
        <v>91</v>
      </c>
      <c r="B92" s="2" t="s">
        <v>322</v>
      </c>
      <c r="C92" s="2" t="s">
        <v>657</v>
      </c>
      <c r="D92" s="3" t="d">
        <v>2025-09-23</v>
      </c>
      <c r="E92" s="3" t="d">
        <v>2026-05-10</v>
      </c>
      <c r="F92" s="2" t="s">
        <v>2</v>
      </c>
      <c r="G92" s="2">
        <v>1016.4</v>
      </c>
      <c r="H92" s="2">
        <v>1052</v>
      </c>
      <c r="I92" s="2">
        <v>3.5</v>
      </c>
    </row>
    <row r="93" spans="1:9" ht="20" customHeight="1" x14ac:dyDescent="0.2">
      <c r="A93" s="2">
        <f t="shared" si="1"/>
        <v>92</v>
      </c>
      <c r="B93" s="2" t="s">
        <v>323</v>
      </c>
      <c r="C93" s="2" t="s">
        <v>658</v>
      </c>
      <c r="D93" s="3" t="d">
        <v>2025-10-07</v>
      </c>
      <c r="E93" s="3" t="d">
        <v>2026-05-10</v>
      </c>
      <c r="F93" s="2" t="s">
        <v>2</v>
      </c>
      <c r="G93" s="2">
        <v>1050</v>
      </c>
      <c r="H93" s="2">
        <v>1047</v>
      </c>
      <c r="I93" s="2">
        <v>-0.28999999999999998</v>
      </c>
    </row>
    <row r="94" spans="1:9" ht="20" customHeight="1" x14ac:dyDescent="0.2">
      <c r="A94" s="2">
        <f t="shared" si="1"/>
        <v>93</v>
      </c>
      <c r="B94" s="2" t="s">
        <v>324</v>
      </c>
      <c r="C94" s="2" t="s">
        <v>659</v>
      </c>
      <c r="D94" s="3" t="d">
        <v>2025-11-04</v>
      </c>
      <c r="E94" s="3" t="d">
        <v>2026-05-10</v>
      </c>
      <c r="F94" s="2" t="s">
        <v>2</v>
      </c>
      <c r="G94" s="2">
        <v>349.4</v>
      </c>
      <c r="H94" s="2">
        <v>660</v>
      </c>
      <c r="I94" s="2">
        <v>88.9</v>
      </c>
    </row>
    <row r="95" spans="1:9" ht="20" customHeight="1" x14ac:dyDescent="0.2">
      <c r="A95" s="2">
        <f t="shared" si="1"/>
        <v>94</v>
      </c>
      <c r="B95" s="2" t="s">
        <v>325</v>
      </c>
      <c r="C95" s="2" t="s">
        <v>660</v>
      </c>
      <c r="D95" s="3" t="d">
        <v>2025-11-05</v>
      </c>
      <c r="E95" s="3" t="d">
        <v>2026-05-10</v>
      </c>
      <c r="F95" s="2" t="s">
        <v>2</v>
      </c>
      <c r="G95" s="2">
        <v>9.6999999999999993</v>
      </c>
      <c r="H95" s="2">
        <v>9.1999999999999993</v>
      </c>
      <c r="I95" s="2">
        <v>-5.15</v>
      </c>
    </row>
    <row r="96" spans="1:9" ht="20" customHeight="1" x14ac:dyDescent="0.2">
      <c r="A96" s="2">
        <f t="shared" si="1"/>
        <v>95</v>
      </c>
      <c r="B96" s="2" t="s">
        <v>326</v>
      </c>
      <c r="C96" s="2" t="s">
        <v>661</v>
      </c>
      <c r="D96" s="3" t="d">
        <v>2025-11-06</v>
      </c>
      <c r="E96" s="3" t="d">
        <v>2026-05-10</v>
      </c>
      <c r="F96" s="2" t="s">
        <v>2</v>
      </c>
      <c r="G96" s="2">
        <v>442.4</v>
      </c>
      <c r="H96" s="2">
        <v>599</v>
      </c>
      <c r="I96" s="2">
        <v>35.4</v>
      </c>
    </row>
    <row r="97" spans="1:9" ht="20" customHeight="1" x14ac:dyDescent="0.2">
      <c r="A97" s="2">
        <f t="shared" si="1"/>
        <v>96</v>
      </c>
      <c r="B97" s="2" t="s">
        <v>327</v>
      </c>
      <c r="C97" s="2" t="s">
        <v>662</v>
      </c>
      <c r="D97" s="3" t="d">
        <v>2025-11-09</v>
      </c>
      <c r="E97" s="3" t="d">
        <v>2026-05-10</v>
      </c>
      <c r="F97" s="2" t="s">
        <v>2</v>
      </c>
      <c r="G97" s="2">
        <v>351.4</v>
      </c>
      <c r="H97" s="2">
        <v>1729</v>
      </c>
      <c r="I97" s="2">
        <v>392.03</v>
      </c>
    </row>
    <row r="98" spans="1:9" ht="20" customHeight="1" x14ac:dyDescent="0.2">
      <c r="A98" s="2">
        <f t="shared" si="1"/>
        <v>97</v>
      </c>
      <c r="B98" s="2" t="s">
        <v>328</v>
      </c>
      <c r="C98" s="2" t="s">
        <v>663</v>
      </c>
      <c r="D98" s="3" t="d">
        <v>2025-11-10</v>
      </c>
      <c r="E98" s="3" t="d">
        <v>2026-05-10</v>
      </c>
      <c r="F98" s="2" t="s">
        <v>2</v>
      </c>
      <c r="G98" s="2">
        <v>332.6</v>
      </c>
      <c r="H98" s="2">
        <v>569.1</v>
      </c>
      <c r="I98" s="2">
        <v>71.11</v>
      </c>
    </row>
    <row r="99" spans="1:9" ht="20" customHeight="1" x14ac:dyDescent="0.2">
      <c r="A99" s="2">
        <f t="shared" si="1"/>
        <v>98</v>
      </c>
      <c r="B99" s="2" t="s">
        <v>329</v>
      </c>
      <c r="C99" s="2" t="s">
        <v>664</v>
      </c>
      <c r="D99" s="3" t="d">
        <v>2025-11-11</v>
      </c>
      <c r="E99" s="3" t="d">
        <v>2026-05-10</v>
      </c>
      <c r="F99" s="2" t="s">
        <v>2</v>
      </c>
      <c r="G99" s="2">
        <v>313.5</v>
      </c>
      <c r="H99" s="2">
        <v>832</v>
      </c>
      <c r="I99" s="2">
        <v>165.39</v>
      </c>
    </row>
    <row r="100" spans="1:9" ht="20" customHeight="1" x14ac:dyDescent="0.2">
      <c r="A100" s="2">
        <f t="shared" si="1"/>
        <v>99</v>
      </c>
      <c r="B100" s="2" t="s">
        <v>330</v>
      </c>
      <c r="C100" s="2" t="s">
        <v>665</v>
      </c>
      <c r="D100" s="3" t="d">
        <v>2025-11-11</v>
      </c>
      <c r="E100" s="3" t="d">
        <v>2026-05-10</v>
      </c>
      <c r="F100" s="2" t="s">
        <v>2</v>
      </c>
      <c r="G100" s="2">
        <v>1100</v>
      </c>
      <c r="H100" s="2">
        <v>1125</v>
      </c>
      <c r="I100" s="2">
        <v>2.27</v>
      </c>
    </row>
    <row r="101" spans="1:9" ht="20" customHeight="1" x14ac:dyDescent="0.2">
      <c r="A101" s="2">
        <f t="shared" si="1"/>
        <v>100</v>
      </c>
      <c r="B101" s="2" t="s">
        <v>331</v>
      </c>
      <c r="C101" s="2" t="s">
        <v>666</v>
      </c>
      <c r="D101" s="3" t="d">
        <v>2025-11-11</v>
      </c>
      <c r="E101" s="3" t="d">
        <v>2026-05-10</v>
      </c>
      <c r="F101" s="2" t="s">
        <v>2</v>
      </c>
      <c r="G101" s="2">
        <v>407.4</v>
      </c>
      <c r="H101" s="2">
        <v>2485</v>
      </c>
      <c r="I101" s="2">
        <v>509.97</v>
      </c>
    </row>
    <row r="102" spans="1:9" ht="20" customHeight="1" x14ac:dyDescent="0.2">
      <c r="A102" s="2">
        <f t="shared" si="1"/>
        <v>101</v>
      </c>
      <c r="B102" s="2" t="s">
        <v>332</v>
      </c>
      <c r="C102" s="2" t="s">
        <v>667</v>
      </c>
      <c r="D102" s="3" t="d">
        <v>2025-11-16</v>
      </c>
      <c r="E102" s="3" t="d">
        <v>2026-05-10</v>
      </c>
      <c r="F102" s="2" t="s">
        <v>2</v>
      </c>
      <c r="G102" s="2">
        <v>311.2</v>
      </c>
      <c r="H102" s="2">
        <v>1840</v>
      </c>
      <c r="I102" s="2">
        <v>491.26</v>
      </c>
    </row>
    <row r="103" spans="1:9" ht="20" customHeight="1" x14ac:dyDescent="0.2">
      <c r="A103" s="2">
        <f t="shared" si="1"/>
        <v>102</v>
      </c>
      <c r="B103" s="2" t="s">
        <v>333</v>
      </c>
      <c r="C103" s="2" t="s">
        <v>668</v>
      </c>
      <c r="D103" s="3" t="d">
        <v>2025-11-16</v>
      </c>
      <c r="E103" s="3" t="d">
        <v>2026-05-10</v>
      </c>
      <c r="F103" s="2" t="s">
        <v>2</v>
      </c>
      <c r="G103" s="2">
        <v>1069</v>
      </c>
      <c r="H103" s="2">
        <v>1060</v>
      </c>
      <c r="I103" s="2">
        <v>-0.84</v>
      </c>
    </row>
    <row r="104" spans="1:9" ht="20" customHeight="1" x14ac:dyDescent="0.2">
      <c r="A104" s="2">
        <f t="shared" si="1"/>
        <v>103</v>
      </c>
      <c r="B104" s="2" t="s">
        <v>334</v>
      </c>
      <c r="C104" s="2" t="s">
        <v>669</v>
      </c>
      <c r="D104" s="3" t="d">
        <v>2025-11-24</v>
      </c>
      <c r="E104" s="3" t="d">
        <v>2026-05-10</v>
      </c>
      <c r="F104" s="2" t="s">
        <v>2</v>
      </c>
      <c r="G104" s="2">
        <v>331.8</v>
      </c>
      <c r="H104" s="2">
        <v>1145</v>
      </c>
      <c r="I104" s="2">
        <v>245.09</v>
      </c>
    </row>
    <row r="105" spans="1:9" ht="20" customHeight="1" x14ac:dyDescent="0.2">
      <c r="A105" s="2">
        <f t="shared" si="1"/>
        <v>104</v>
      </c>
      <c r="B105" s="2" t="s">
        <v>335</v>
      </c>
      <c r="C105" s="2" t="s">
        <v>670</v>
      </c>
      <c r="D105" s="3" t="d">
        <v>2025-12-10</v>
      </c>
      <c r="E105" s="3" t="d">
        <v>2026-05-10</v>
      </c>
      <c r="F105" s="2" t="s">
        <v>2</v>
      </c>
      <c r="G105" s="2">
        <v>351.7</v>
      </c>
      <c r="H105" s="2">
        <v>1465</v>
      </c>
      <c r="I105" s="2">
        <v>316.55</v>
      </c>
    </row>
    <row r="106" spans="1:9" ht="20" customHeight="1" x14ac:dyDescent="0.2">
      <c r="A106" s="2">
        <f t="shared" si="1"/>
        <v>105</v>
      </c>
      <c r="B106" s="2" t="s">
        <v>336</v>
      </c>
      <c r="C106" s="2" t="s">
        <v>671</v>
      </c>
      <c r="D106" s="3" t="d">
        <v>2026-01-18</v>
      </c>
      <c r="E106" s="3" t="d">
        <v>2026-05-10</v>
      </c>
      <c r="F106" s="2" t="s">
        <v>2</v>
      </c>
      <c r="G106" s="2">
        <v>9.43</v>
      </c>
      <c r="H106" s="2">
        <v>9.33</v>
      </c>
      <c r="I106" s="2">
        <v>-1.06</v>
      </c>
    </row>
    <row r="107" spans="1:9" ht="20" customHeight="1" x14ac:dyDescent="0.2">
      <c r="A107" s="2">
        <f t="shared" si="1"/>
        <v>106</v>
      </c>
      <c r="B107" s="2" t="s">
        <v>337</v>
      </c>
      <c r="C107" s="2" t="s">
        <v>337</v>
      </c>
      <c r="D107" s="3" t="d">
        <v>2026-02-16</v>
      </c>
      <c r="E107" s="3" t="d">
        <v>2026-05-10</v>
      </c>
      <c r="F107" s="2" t="s">
        <v>2</v>
      </c>
      <c r="G107" s="2">
        <v>330</v>
      </c>
      <c r="H107" s="2">
        <v>361.8</v>
      </c>
      <c r="I107" s="2">
        <v>9.64</v>
      </c>
    </row>
    <row r="108" spans="1:9" ht="20" customHeight="1" x14ac:dyDescent="0.2">
      <c r="A108" s="10">
        <f t="shared" si="1"/>
        <v>107</v>
      </c>
      <c r="B108" s="10" t="s">
        <v>338</v>
      </c>
      <c r="C108" s="10" t="s">
        <v>672</v>
      </c>
      <c r="D108" s="11" t="d">
        <v>2026-02-16</v>
      </c>
      <c r="E108" s="11" t="d">
        <v>2026-05-10</v>
      </c>
      <c r="F108" s="10" t="s">
        <v>2</v>
      </c>
      <c r="G108" s="10">
        <v>330</v>
      </c>
      <c r="H108" s="10">
        <v>1235</v>
      </c>
      <c r="I108" s="10">
        <v>274.24</v>
      </c>
    </row>
    <row r="109" spans="1:9" ht="20" customHeight="1" x14ac:dyDescent="0.2">
      <c r="A109" s="2">
        <f>ROW()-1</f>
        <v>108</v>
      </c>
      <c r="B109" s="2" t="s">
        <v>133</v>
      </c>
      <c r="C109" s="2" t="s">
        <v>449</v>
      </c>
      <c r="D109" s="3" t="d">
        <v>2019-11-11</v>
      </c>
      <c r="E109" s="3" t="d">
        <v>2020-11-11</v>
      </c>
      <c r="F109" s="2" t="s">
        <v>2</v>
      </c>
      <c r="G109" s="2">
        <v>10.3</v>
      </c>
      <c r="H109" s="2">
        <v>10.17</v>
      </c>
      <c r="I109" s="2">
        <v>76.41</v>
      </c>
    </row>
    <row r="110" spans="1:9" ht="20" customHeight="1" x14ac:dyDescent="0.2">
      <c r="A110" s="2">
        <f>ROW()-1</f>
        <v>109</v>
      </c>
      <c r="B110" s="2" t="s">
        <v>135</v>
      </c>
      <c r="C110" s="2" t="s">
        <v>674</v>
      </c>
      <c r="D110" s="3" t="d">
        <v>2020-02-09</v>
      </c>
      <c r="E110" s="3" t="d">
        <v>2021-02-09</v>
      </c>
      <c r="F110" s="2" t="s">
        <v>2</v>
      </c>
      <c r="G110" s="2">
        <v>10</v>
      </c>
      <c r="H110" s="2">
        <v>10.33</v>
      </c>
      <c r="I110" s="2">
        <v>93.3</v>
      </c>
    </row>
    <row r="111" spans="1:9" ht="20" customHeight="1" x14ac:dyDescent="0.2">
      <c r="A111" s="2">
        <f>ROW()-1</f>
        <v>110</v>
      </c>
      <c r="B111" s="2" t="s">
        <v>138</v>
      </c>
      <c r="C111" s="2" t="s">
        <v>452</v>
      </c>
      <c r="D111" s="3" t="d">
        <v>2020-07-15</v>
      </c>
      <c r="E111" s="3" t="d">
        <v>2021-07-15</v>
      </c>
      <c r="F111" s="2" t="s">
        <v>2</v>
      </c>
      <c r="G111" s="2">
        <v>10</v>
      </c>
      <c r="H111" s="2">
        <v>14.95</v>
      </c>
      <c r="I111" s="2">
        <v>99.5</v>
      </c>
    </row>
    <row r="112" spans="1:9" ht="20" customHeight="1" x14ac:dyDescent="0.2">
      <c r="A112" s="2">
        <f>ROW()-1</f>
        <v>111</v>
      </c>
      <c r="B112" s="2" t="s">
        <v>151</v>
      </c>
      <c r="C112" s="2" t="s">
        <v>675</v>
      </c>
      <c r="D112" s="3" t="d">
        <v>2021-01-11</v>
      </c>
      <c r="E112" s="3" t="d">
        <v>2022-01-11</v>
      </c>
      <c r="F112" s="2" t="s">
        <v>2</v>
      </c>
      <c r="G112" s="2">
        <v>10.45</v>
      </c>
      <c r="H112" s="2">
        <v>11.34</v>
      </c>
      <c r="I112" s="2">
        <v>295.60000000000002</v>
      </c>
    </row>
    <row r="113" spans="1:9" ht="20" customHeight="1" x14ac:dyDescent="0.2">
      <c r="A113" s="2">
        <f>ROW()-1</f>
        <v>112</v>
      </c>
      <c r="B113" s="2" t="s">
        <v>164</v>
      </c>
      <c r="C113" s="2" t="s">
        <v>468</v>
      </c>
      <c r="D113" s="3" t="d">
        <v>2021-06-09</v>
      </c>
      <c r="E113" s="3" t="d">
        <v>2022-06-09</v>
      </c>
      <c r="F113" s="2" t="s">
        <v>2</v>
      </c>
      <c r="G113" s="2">
        <v>10.119999999999999</v>
      </c>
      <c r="H113" s="2">
        <v>8.1</v>
      </c>
      <c r="I113" s="2">
        <v>-19.96</v>
      </c>
    </row>
    <row r="114" spans="1:9" ht="20" customHeight="1" x14ac:dyDescent="0.2">
      <c r="A114" s="2">
        <f>ROW()-1</f>
        <v>113</v>
      </c>
      <c r="B114" s="2" t="s">
        <v>166</v>
      </c>
      <c r="C114" s="2" t="s">
        <v>676</v>
      </c>
      <c r="D114" s="3" t="d">
        <v>2021-06-27</v>
      </c>
      <c r="E114" s="3" t="d">
        <v>2022-06-27</v>
      </c>
      <c r="F114" s="2" t="s">
        <v>2</v>
      </c>
      <c r="G114" s="2">
        <v>10.17</v>
      </c>
      <c r="H114" s="2">
        <v>8.01</v>
      </c>
      <c r="I114" s="2">
        <v>-21.24</v>
      </c>
    </row>
    <row r="115" spans="1:9" ht="20" customHeight="1" x14ac:dyDescent="0.2">
      <c r="A115" s="2">
        <f>ROW()-1</f>
        <v>114</v>
      </c>
      <c r="B115" s="2" t="s">
        <v>178</v>
      </c>
      <c r="C115" s="2" t="s">
        <v>475</v>
      </c>
      <c r="D115" s="3" t="d">
        <v>2021-11-22</v>
      </c>
      <c r="E115" s="3" t="d">
        <v>2022-11-22</v>
      </c>
      <c r="F115" s="2" t="s">
        <v>2</v>
      </c>
      <c r="G115" s="2">
        <v>9.8800000000000008</v>
      </c>
      <c r="H115" s="2">
        <v>7.8</v>
      </c>
      <c r="I115" s="2">
        <v>-21.05</v>
      </c>
    </row>
    <row r="116" spans="1:9" ht="20" customHeight="1" x14ac:dyDescent="0.2">
      <c r="A116" s="2">
        <f>ROW()-1</f>
        <v>115</v>
      </c>
      <c r="B116" s="2" t="s">
        <v>211</v>
      </c>
      <c r="C116" s="2" t="s">
        <v>499</v>
      </c>
      <c r="D116" s="3" t="d">
        <v>2022-09-12</v>
      </c>
      <c r="E116" s="3" t="d">
        <v>2023-09-12</v>
      </c>
      <c r="F116" s="2" t="s">
        <v>2</v>
      </c>
      <c r="G116" s="2">
        <v>10</v>
      </c>
      <c r="H116" s="2">
        <v>8.01</v>
      </c>
      <c r="I116" s="2">
        <v>-19.899999999999999</v>
      </c>
    </row>
    <row r="117" spans="1:9" ht="20" customHeight="1" x14ac:dyDescent="0.2">
      <c r="A117" s="2">
        <f>ROW()-1</f>
        <v>116</v>
      </c>
      <c r="B117" s="2" t="s">
        <v>213</v>
      </c>
      <c r="C117" s="2" t="s">
        <v>677</v>
      </c>
      <c r="D117" s="3" t="d">
        <v>2022-09-28</v>
      </c>
      <c r="E117" s="3" t="d">
        <v>2023-09-28</v>
      </c>
      <c r="F117" s="2" t="s">
        <v>2</v>
      </c>
      <c r="G117" s="2">
        <v>9</v>
      </c>
      <c r="H117" s="2">
        <v>8.51</v>
      </c>
      <c r="I117" s="2">
        <v>-5.56</v>
      </c>
    </row>
    <row r="118" spans="1:9" ht="20" customHeight="1" x14ac:dyDescent="0.2">
      <c r="A118" s="10">
        <f>ROW()-1</f>
        <v>117</v>
      </c>
      <c r="B118" s="10" t="s">
        <v>290</v>
      </c>
      <c r="C118" s="10" t="s">
        <v>562</v>
      </c>
      <c r="D118" s="11" t="d">
        <v>2024-01-04</v>
      </c>
      <c r="E118" s="11" t="d">
        <v>2025-01-04</v>
      </c>
      <c r="F118" s="10" t="s">
        <v>2</v>
      </c>
      <c r="G118" s="10">
        <v>8.42</v>
      </c>
      <c r="H118" s="10">
        <v>9.75</v>
      </c>
      <c r="I118" s="10">
        <v>98.46</v>
      </c>
    </row>
    <row r="119" spans="1:9" ht="20" customHeight="1" x14ac:dyDescent="0.2">
      <c r="A119" s="14"/>
      <c r="B119" s="14"/>
      <c r="C119" s="14"/>
      <c r="D119" s="14"/>
      <c r="E119" s="14"/>
      <c r="F119" s="15" t="s">
        <v>572</v>
      </c>
      <c r="G119" s="14"/>
      <c r="H119" s="14"/>
      <c r="I119" s="16">
        <f>AVERAGE(I2:I118)</f>
        <v>45.777777777777779</v>
      </c>
    </row>
    <row r="120" spans="1:9" ht="20" customHeight="1" x14ac:dyDescent="0.2">
      <c r="A120" s="4"/>
      <c r="B120" s="4"/>
      <c r="C120" s="4"/>
      <c r="D120" s="4"/>
      <c r="E120" s="4"/>
      <c r="F120" s="5" t="s">
        <v>573</v>
      </c>
      <c r="G120" s="4"/>
      <c r="H120" s="4"/>
      <c r="I120" s="6">
        <f>((1+I119/100)^(365/365)-1)*100</f>
        <v>45.777777777777786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all_listings_1_year</vt:lpstr>
      <vt:lpstr>other_listings_1_year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 Y Gurung</dc:creator>
  <cp:lastModifiedBy>Karma Y Gurung</cp:lastModifiedBy>
  <dcterms:created xsi:type="dcterms:W3CDTF">2026-05-10T14:51:47Z</dcterms:created>
  <dcterms:modified xsi:type="dcterms:W3CDTF">2026-05-10T15:44:47Z</dcterms:modified>
</cp:coreProperties>
</file>