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magurung/CodingProjects/Nepse-CAGR/Research/IPO Research/"/>
    </mc:Choice>
  </mc:AlternateContent>
  <xr:revisionPtr revIDLastSave="0" documentId="13_ncr:1_{873729A3-2754-864B-9632-89F58152B53A}" xr6:coauthVersionLast="47" xr6:coauthVersionMax="47" xr10:uidLastSave="{00000000-0000-0000-0000-000000000000}"/>
  <bookViews>
    <workbookView xWindow="0" yWindow="640" windowWidth="28800" windowHeight="16340" xr2:uid="{00000000-000D-0000-FFFF-FFFF00000000}"/>
  </bookViews>
  <sheets>
    <sheet name="Dashboard" sheetId="1" r:id="rId1"/>
    <sheet name="1_months" sheetId="2" r:id="rId2"/>
    <sheet name="45_days" sheetId="3" r:id="rId3"/>
    <sheet name="2_months" sheetId="4" r:id="rId4"/>
    <sheet name="4 months " sheetId="5" r:id="rId5"/>
    <sheet name="6_months" sheetId="6" r:id="rId6"/>
    <sheet name="1_yea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I74" i="7"/>
  <c r="I74" i="6"/>
  <c r="I74" i="5"/>
  <c r="I74" i="4"/>
  <c r="I74" i="3"/>
  <c r="I74" i="2"/>
  <c r="I72" i="7"/>
  <c r="I73" i="7" s="1"/>
  <c r="F10" i="1" s="1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I73" i="6"/>
  <c r="I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I72" i="5"/>
  <c r="I73" i="5" s="1"/>
  <c r="F8" i="1" s="1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I72" i="4"/>
  <c r="I73" i="4" s="1"/>
  <c r="F7" i="1" s="1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I72" i="3"/>
  <c r="I73" i="3" s="1"/>
  <c r="F6" i="1" s="1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I72" i="2"/>
  <c r="I73" i="2" s="1"/>
  <c r="F5" i="1" s="1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E10" i="1"/>
  <c r="D10" i="1"/>
  <c r="F9" i="1"/>
  <c r="E9" i="1"/>
  <c r="D9" i="1"/>
  <c r="E8" i="1"/>
  <c r="D8" i="1"/>
  <c r="E7" i="1"/>
  <c r="D7" i="1"/>
  <c r="E6" i="1"/>
  <c r="D6" i="1"/>
  <c r="D5" i="1"/>
  <c r="E5" i="1" l="1"/>
</calcChain>
</file>

<file path=xl/sharedStrings.xml><?xml version="1.0" encoding="utf-8"?>
<sst xmlns="http://schemas.openxmlformats.org/spreadsheetml/2006/main" count="1276" uniqueCount="170">
  <si>
    <t>IPO PERFORMANCE DASHBOARD</t>
  </si>
  <si>
    <t>Time Frame</t>
  </si>
  <si>
    <t>Window (days)</t>
  </si>
  <si>
    <t># Stocks</t>
  </si>
  <si>
    <t>Avg Total Return %</t>
  </si>
  <si>
    <t>Annualised CAGR %</t>
  </si>
  <si>
    <t>1 Month</t>
  </si>
  <si>
    <t>45 Days</t>
  </si>
  <si>
    <t>2 Months</t>
  </si>
  <si>
    <t>4 Months</t>
  </si>
  <si>
    <t>6 Months</t>
  </si>
  <si>
    <t>1 Year</t>
  </si>
  <si>
    <t>Note: Avg Total Return % is simple average across all stocks for the holding window. CAGR annualises that return to a per-year rate.</t>
  </si>
  <si>
    <t>#</t>
  </si>
  <si>
    <t>Ticker</t>
  </si>
  <si>
    <t>Name</t>
  </si>
  <si>
    <t>Listing_Date</t>
  </si>
  <si>
    <t>Window_End</t>
  </si>
  <si>
    <t>Total_Return_%</t>
  </si>
  <si>
    <t>PPL</t>
  </si>
  <si>
    <t>People's Power Limited</t>
  </si>
  <si>
    <t>1 months</t>
  </si>
  <si>
    <t>SPHL</t>
  </si>
  <si>
    <t>Sayapatri Hydropower Limited</t>
  </si>
  <si>
    <t>SIKLES</t>
  </si>
  <si>
    <t>Sikles Hydropower Limited</t>
  </si>
  <si>
    <t>EHPL</t>
  </si>
  <si>
    <t>Eastern Hydropower Limited</t>
  </si>
  <si>
    <t>PHCL</t>
  </si>
  <si>
    <t>Peoples Hydropower Company Limited</t>
  </si>
  <si>
    <t>SHLB</t>
  </si>
  <si>
    <t>Shrijanshil Laghubitta Bittiya Sanstha Limited</t>
  </si>
  <si>
    <t>BHPL</t>
  </si>
  <si>
    <t>Barahi Hydropower Public Limited</t>
  </si>
  <si>
    <t>SMHL</t>
  </si>
  <si>
    <t>Super Madi Hydropower Limited</t>
  </si>
  <si>
    <t>SPL</t>
  </si>
  <si>
    <t>Shuvam Power Limited</t>
  </si>
  <si>
    <t>MKHC</t>
  </si>
  <si>
    <t>Maya Khola Hydropower Company Limited</t>
  </si>
  <si>
    <t>AHL</t>
  </si>
  <si>
    <t>Asian Hydropower Limited</t>
  </si>
  <si>
    <t>KDL</t>
  </si>
  <si>
    <t>Kalinchowk Darshan Limited</t>
  </si>
  <si>
    <t>SMH</t>
  </si>
  <si>
    <t>Supermai Hydropower Limited</t>
  </si>
  <si>
    <t>TAMOR</t>
  </si>
  <si>
    <t>Sanima Middle Tamor Hydropower Limited</t>
  </si>
  <si>
    <t>MHCL</t>
  </si>
  <si>
    <t>Molung Hydropower Company Limited</t>
  </si>
  <si>
    <t>SMJC</t>
  </si>
  <si>
    <t>Sagarmatha Jalbidhyut Company Limited</t>
  </si>
  <si>
    <t>ANLB</t>
  </si>
  <si>
    <t>Aatmanirbhar Laghubitta Bittiya Sanstha Limited</t>
  </si>
  <si>
    <t>MAKAR</t>
  </si>
  <si>
    <t>Makar Jitumaya Suri Hydropower Company Limited</t>
  </si>
  <si>
    <t>MKHL</t>
  </si>
  <si>
    <t>Mai Khola Hydropower Limited</t>
  </si>
  <si>
    <t>BEDC</t>
  </si>
  <si>
    <t>Bhugol Energy Development Company Limited</t>
  </si>
  <si>
    <t>DOLTI</t>
  </si>
  <si>
    <t>Dolti Power Company Ltd</t>
  </si>
  <si>
    <t>CITY</t>
  </si>
  <si>
    <t>City Hotel Limited</t>
  </si>
  <si>
    <t>MCHL</t>
  </si>
  <si>
    <t>Menchhiyam Hydropower Limited</t>
  </si>
  <si>
    <t>IHL</t>
  </si>
  <si>
    <t>Ingwa Hydropower Ltd</t>
  </si>
  <si>
    <t>MEL</t>
  </si>
  <si>
    <t>Modi Energy Limited</t>
  </si>
  <si>
    <t>RAWA</t>
  </si>
  <si>
    <t>Rawa Energy Development Ltd.</t>
  </si>
  <si>
    <t>ILI</t>
  </si>
  <si>
    <t>IME Life Insurance Company Limited</t>
  </si>
  <si>
    <t>NRM</t>
  </si>
  <si>
    <t>Nepal Republic Media Limited</t>
  </si>
  <si>
    <t>GCIL</t>
  </si>
  <si>
    <t>Ghorahi Cement Industry Limited</t>
  </si>
  <si>
    <t>TSHL</t>
  </si>
  <si>
    <t>Three Star Hydropower Limited</t>
  </si>
  <si>
    <t>USHL</t>
  </si>
  <si>
    <t>Upper Syange Hydropower Limited</t>
  </si>
  <si>
    <t>KBSH</t>
  </si>
  <si>
    <t>Kutheli Bukhari Small Hydropower Limited</t>
  </si>
  <si>
    <t>RNLI</t>
  </si>
  <si>
    <t>Reliable Nepal Life Insurance Limited</t>
  </si>
  <si>
    <t>SNLI</t>
  </si>
  <si>
    <t>Sun Nepal Life Insurance Company Limited</t>
  </si>
  <si>
    <t>MEHL</t>
  </si>
  <si>
    <t>Manakamana Engineering Hydropower Limited</t>
  </si>
  <si>
    <t>ULHC</t>
  </si>
  <si>
    <t>Upper Lohore Khola Hydropower Company Limited</t>
  </si>
  <si>
    <t>CLI</t>
  </si>
  <si>
    <t>Citizen Life Insurance Company Limited</t>
  </si>
  <si>
    <t>MANDU</t>
  </si>
  <si>
    <t>Mandu Hydropower Limited</t>
  </si>
  <si>
    <t>HATHY</t>
  </si>
  <si>
    <t>Hathway Investment Nepal Limited</t>
  </si>
  <si>
    <t>BGWT</t>
  </si>
  <si>
    <t>Bhagawati Hydropower Development Company Limited</t>
  </si>
  <si>
    <t>MSHL</t>
  </si>
  <si>
    <t>Mid Solu Hydropower Company Limited</t>
  </si>
  <si>
    <t>SONA</t>
  </si>
  <si>
    <t>Sonapur Minerals and Oil Limited</t>
  </si>
  <si>
    <t>MMKJL</t>
  </si>
  <si>
    <t>Mathillo Mailun Khola Jalvidhyut Limited</t>
  </si>
  <si>
    <t>TVCL</t>
  </si>
  <si>
    <t>Trishuli Jal Vidhyut Company Limited</t>
  </si>
  <si>
    <t>MKCL</t>
  </si>
  <si>
    <t>Muktinath Krishi Company Limited</t>
  </si>
  <si>
    <t>CKHL</t>
  </si>
  <si>
    <t>Chirkhwa Hydro Power Limited</t>
  </si>
  <si>
    <t>NWCL</t>
  </si>
  <si>
    <t>Nepal Warehousing Company Limited</t>
  </si>
  <si>
    <t>VLUCL</t>
  </si>
  <si>
    <t>Vision Lumbini Urja Company Limited</t>
  </si>
  <si>
    <t>HRL</t>
  </si>
  <si>
    <t>Himalayan Reinsurance Limited</t>
  </si>
  <si>
    <t>2 months</t>
  </si>
  <si>
    <t>SARBTM</t>
  </si>
  <si>
    <t>Sarbottam Cement Limited</t>
  </si>
  <si>
    <t>GMLI</t>
  </si>
  <si>
    <t>Guardian Micro Life Insurance Limited</t>
  </si>
  <si>
    <t>NMIC</t>
  </si>
  <si>
    <t>Nepal Micro Insurance Company Limited</t>
  </si>
  <si>
    <t>CREST</t>
  </si>
  <si>
    <t>Crest Micro Life Insurance Limited</t>
  </si>
  <si>
    <t>OMPL</t>
  </si>
  <si>
    <t>Om Megashree Pharmaceuticals Limited</t>
  </si>
  <si>
    <t>PURE</t>
  </si>
  <si>
    <t>Pure Energy Limited</t>
  </si>
  <si>
    <t>TTL</t>
  </si>
  <si>
    <t>Trade Tower Limited</t>
  </si>
  <si>
    <t>SANVI</t>
  </si>
  <si>
    <t>Sanvi Energy Limited</t>
  </si>
  <si>
    <t>BHCL</t>
  </si>
  <si>
    <t>Bikash Hydropower Company Limited</t>
  </si>
  <si>
    <t>HIMSTAR</t>
  </si>
  <si>
    <t>Him Star Urja Company Limited</t>
  </si>
  <si>
    <t>MABEL</t>
  </si>
  <si>
    <t>Mabilung Energy Limited</t>
  </si>
  <si>
    <t>DHEL</t>
  </si>
  <si>
    <t>Daramkhola Hydro Energy Limited</t>
  </si>
  <si>
    <t>SAGAR</t>
  </si>
  <si>
    <t>Sagar Distillery Limited</t>
  </si>
  <si>
    <t>BUNGAL</t>
  </si>
  <si>
    <t>Bungal Hydro Limited</t>
  </si>
  <si>
    <t>BANDIPUR</t>
  </si>
  <si>
    <t>Bandipur Cable Car and Tourism Limited</t>
  </si>
  <si>
    <t>SWASTIK</t>
  </si>
  <si>
    <t>Swastik Laghubitta Bittiya Sanstha Limited</t>
  </si>
  <si>
    <t>JHAPA</t>
  </si>
  <si>
    <t>Jhapa Energy Limited</t>
  </si>
  <si>
    <t>SAIL</t>
  </si>
  <si>
    <t>Shreenagar Agritech Industries Limited</t>
  </si>
  <si>
    <t>SYPNL</t>
  </si>
  <si>
    <t>SY Panel Nepal Limited</t>
  </si>
  <si>
    <t>RSML</t>
  </si>
  <si>
    <t>SABBL</t>
  </si>
  <si>
    <t>Salapa Bikas Bank Limited</t>
  </si>
  <si>
    <t>Avg Return %</t>
  </si>
  <si>
    <t>CAGR</t>
  </si>
  <si>
    <t>45 days</t>
  </si>
  <si>
    <t>Reliance Spinning Mills Limited</t>
  </si>
  <si>
    <t>6 months</t>
  </si>
  <si>
    <t>1 year</t>
  </si>
  <si>
    <t>Median</t>
  </si>
  <si>
    <t>Median Return %</t>
  </si>
  <si>
    <t>Listing_price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</si>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</sst>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&quot;% &quot;"/>
    <numFmt numFmtId="165" formatCode="#,##0.00&quot;% &quot;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/>
    <xf numFmtId="0" fontId="1" fillId="0" borderId="0"/>
    <xf numFmtId="0" fontId="3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14" fontId="7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9" fillId="7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4" fontId="7" fillId="4" borderId="1" xfId="0" applyNumberFormat="1" applyFont="1" applyFill="1" applyBorder="1" applyAlignment="1">
      <alignment horizontal="center" vertical="center"/>
    </xf>
    <xf numFmtId="4" fontId="7" fillId="4" borderId="2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165" fontId="5" fillId="8" borderId="4" xfId="0" applyNumberFormat="1" applyFont="1" applyFill="1" applyBorder="1" applyAlignment="1">
      <alignment horizontal="center"/>
    </xf>
    <xf numFmtId="164" fontId="7" fillId="4" borderId="5" xfId="0" applyNumberFormat="1" applyFont="1" applyFill="1" applyBorder="1" applyAlignment="1">
      <alignment horizontal="center"/>
    </xf>
    <xf numFmtId="164" fontId="7" fillId="8" borderId="2" xfId="0" applyNumberFormat="1" applyFont="1" applyFill="1" applyBorder="1" applyAlignment="1">
      <alignment horizontal="center"/>
    </xf>
    <xf numFmtId="164" fontId="7" fillId="8" borderId="5" xfId="0" applyNumberFormat="1" applyFont="1" applyFill="1" applyBorder="1" applyAlignment="1">
      <alignment horizontal="center"/>
    </xf>
    <xf numFmtId="165" fontId="0" fillId="8" borderId="4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0" fillId="0" borderId="0" xfId="0"/>
    <xf numFmtId="0" fontId="10" fillId="0" borderId="0" xfId="0" applyFont="1"/>
  </cellXfs>
  <cellStyles count="4">
    <cellStyle name="Comma 2 2 2 2" xfId="1" xr:uid="{00000000-0005-0000-0000-00002A000000}"/>
    <cellStyle name="Normal" xfId="0" builtinId="0"/>
    <cellStyle name="Normal 2 2 2 2" xfId="2" xr:uid="{00000000-0005-0000-0000-00002B000000}"/>
    <cellStyle name="Normal 2 3" xfId="3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829732</xdr:colOff>
      <xdr:row>13</xdr:row>
      <xdr:rowOff>203199</xdr:rowOff>
    </xdr:from>
    <xdr:to>
      <xdr:col>8</xdr:col>
      <xdr:colOff>152400</xdr:colOff>
      <xdr:row>31</xdr:row>
      <xdr:rowOff>1687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9226D-3250-5BFD-2A81-0383E0D44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32" y="3784599"/>
          <a:ext cx="8644468" cy="345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E83E02-FEA8-9E42-99A6-5BF15BE62F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54307a-b27c-4ec2-8f28-97a607302d5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G12"/>
  <sheetViews>
    <sheetView tabSelected="1" topLeftCell="A3" zoomScale="130" zoomScaleNormal="130" workbookViewId="0">
      <selection activeCell="K22" sqref="K22"/>
    </sheetView>
  </sheetViews>
  <sheetFormatPr baseColWidth="10" defaultRowHeight="16" x14ac:dyDescent="0.2"/>
  <cols>
    <col min="2" max="3" width="15" customWidth="1"/>
    <col min="4" max="4" width="11.6640625" customWidth="1"/>
    <col min="5" max="6" width="21.6640625" customWidth="1"/>
    <col min="7" max="7" width="15.5" bestFit="1" customWidth="1"/>
  </cols>
  <sheetData>
    <row r="2" spans="2:7" ht="40" customHeight="1" x14ac:dyDescent="0.3">
      <c r="B2" s="38" t="s">
        <v>0</v>
      </c>
      <c r="C2" s="39"/>
      <c r="D2" s="39"/>
      <c r="E2" s="39"/>
      <c r="F2" s="39"/>
    </row>
    <row r="4" spans="2:7" ht="30" customHeight="1" x14ac:dyDescent="0.2">
      <c r="B4" s="14" t="s">
        <v>1</v>
      </c>
      <c r="C4" s="14" t="s">
        <v>2</v>
      </c>
      <c r="D4" s="14" t="s">
        <v>3</v>
      </c>
      <c r="E4" s="14" t="s">
        <v>4</v>
      </c>
      <c r="F4" s="24" t="s">
        <v>5</v>
      </c>
      <c r="G4" s="26" t="s">
        <v>167</v>
      </c>
    </row>
    <row r="5" spans="2:7" ht="22" customHeight="1" x14ac:dyDescent="0.2">
      <c r="B5" s="18" t="s">
        <v>6</v>
      </c>
      <c r="C5" s="18">
        <v>30</v>
      </c>
      <c r="D5" s="18">
        <f>COUNTA('1_months'!B2:B71)</f>
        <v>70</v>
      </c>
      <c r="E5" s="15">
        <f>'1_months'!I72</f>
        <v>109.87536231884056</v>
      </c>
      <c r="F5" s="25">
        <f>'1_months'!I73</f>
        <v>826314.15992621006</v>
      </c>
      <c r="G5" s="28">
        <f>'1_months'!I74</f>
        <v>29.47</v>
      </c>
    </row>
    <row r="6" spans="2:7" ht="22" customHeight="1" x14ac:dyDescent="0.2">
      <c r="B6" s="19" t="s">
        <v>7</v>
      </c>
      <c r="C6" s="19">
        <v>45</v>
      </c>
      <c r="D6" s="19">
        <f>COUNTA('45_days'!B2:B71)</f>
        <v>70</v>
      </c>
      <c r="E6" s="16">
        <f>'45_days'!I72</f>
        <v>140.26697674418611</v>
      </c>
      <c r="F6" s="27">
        <f>'45_days'!I73</f>
        <v>122319.89777012375</v>
      </c>
      <c r="G6" s="30">
        <f>'45_days'!I74</f>
        <v>34.82</v>
      </c>
    </row>
    <row r="7" spans="2:7" ht="22" customHeight="1" x14ac:dyDescent="0.2">
      <c r="B7" s="18" t="s">
        <v>8</v>
      </c>
      <c r="C7" s="18">
        <v>60</v>
      </c>
      <c r="D7" s="18">
        <f>COUNTA('2_months'!B2:B71)</f>
        <v>70</v>
      </c>
      <c r="E7" s="15">
        <f>'2_months'!I72</f>
        <v>119.11185714285712</v>
      </c>
      <c r="F7" s="25">
        <f>'2_months'!I73</f>
        <v>11713.650066987075</v>
      </c>
      <c r="G7" s="28">
        <f>'2_months'!I74</f>
        <v>40.615000000000002</v>
      </c>
    </row>
    <row r="8" spans="2:7" ht="22" customHeight="1" x14ac:dyDescent="0.2">
      <c r="B8" s="19" t="s">
        <v>9</v>
      </c>
      <c r="C8" s="19">
        <v>120</v>
      </c>
      <c r="D8" s="19">
        <f>COUNTA('4 months '!B2:B71)</f>
        <v>70</v>
      </c>
      <c r="E8" s="16">
        <f>'4 months '!I72</f>
        <v>126.13686128182633</v>
      </c>
      <c r="F8" s="27">
        <f>'4 months '!I73</f>
        <v>1096.408674745732</v>
      </c>
      <c r="G8" s="30">
        <f>'4 months '!I74</f>
        <v>61.414999999999999</v>
      </c>
    </row>
    <row r="9" spans="2:7" ht="22" customHeight="1" x14ac:dyDescent="0.2">
      <c r="B9" s="18" t="s">
        <v>10</v>
      </c>
      <c r="C9" s="18">
        <v>180</v>
      </c>
      <c r="D9" s="18">
        <f>COUNTA('6_months'!B2:B71)</f>
        <v>70</v>
      </c>
      <c r="E9" s="15">
        <f>'6_months'!I72</f>
        <v>118.98814285714283</v>
      </c>
      <c r="F9" s="25">
        <f>'6_months'!I73</f>
        <v>390.11424902241617</v>
      </c>
      <c r="G9" s="28">
        <f>'6_months'!I74</f>
        <v>64.795000000000002</v>
      </c>
    </row>
    <row r="10" spans="2:7" ht="22" customHeight="1" x14ac:dyDescent="0.2">
      <c r="B10" s="19" t="s">
        <v>11</v>
      </c>
      <c r="C10" s="19">
        <v>365</v>
      </c>
      <c r="D10" s="20">
        <f>COUNTA('1_year'!B2:B71)</f>
        <v>70</v>
      </c>
      <c r="E10" s="17">
        <f>'1_year'!I72</f>
        <v>151.74642857142851</v>
      </c>
      <c r="F10" s="31">
        <f>'1_year'!I73</f>
        <v>151.74642857142851</v>
      </c>
      <c r="G10" s="29">
        <f>'1_year'!I74</f>
        <v>83.465000000000003</v>
      </c>
    </row>
    <row r="11" spans="2:7" x14ac:dyDescent="0.2">
      <c r="B11" s="13"/>
    </row>
    <row r="12" spans="2:7" x14ac:dyDescent="0.2">
      <c r="B12" s="40" t="s">
        <v>12</v>
      </c>
      <c r="C12" s="39"/>
      <c r="D12" s="39"/>
      <c r="E12" s="39"/>
      <c r="F12" s="39"/>
    </row>
  </sheetData>
  <mergeCells count="2">
    <mergeCell ref="B2:F2"/>
    <mergeCell ref="B12:F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zoomScale="140" zoomScaleNormal="140" workbookViewId="0">
      <selection sqref="A1:I1"/>
    </sheetView>
  </sheetViews>
  <sheetFormatPr baseColWidth="10" defaultRowHeight="16" x14ac:dyDescent="0.2"/>
  <cols>
    <col min="1" max="1" width="4.1640625" bestFit="1" customWidth="1"/>
    <col min="3" max="3" width="44.6640625" bestFit="1" customWidth="1"/>
    <col min="4" max="4" width="11.5" bestFit="1" customWidth="1"/>
    <col min="5" max="5" width="12.33203125" bestFit="1" customWidth="1"/>
    <col min="6" max="6" width="15" customWidth="1"/>
    <col min="7" max="7" width="12" bestFit="1" customWidth="1"/>
    <col min="8" max="8" width="12.5" bestFit="1" customWidth="1"/>
    <col min="9" max="9" width="12.83203125" bestFit="1" customWidth="1"/>
  </cols>
  <sheetData>
    <row r="1" spans="1:9" ht="3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168</v>
      </c>
      <c r="G1" s="1" t="s">
        <v>169</v>
      </c>
      <c r="H1" s="1" t="s">
        <v>1</v>
      </c>
      <c r="I1" s="5" t="s">
        <v>18</v>
      </c>
    </row>
    <row r="2" spans="1:9" ht="20" customHeight="1" x14ac:dyDescent="0.2">
      <c r="A2" s="10">
        <f t="shared" ref="A2:A33" si="0">ROW()-1</f>
        <v>1</v>
      </c>
      <c r="B2" s="10" t="s">
        <v>19</v>
      </c>
      <c r="C2" s="11" t="s">
        <v>20</v>
      </c>
      <c r="D2" s="12">
        <v>44850</v>
      </c>
      <c r="E2" s="12">
        <v>44881</v>
      </c>
      <c r="F2" s="21">
        <v>255.7</v>
      </c>
      <c r="G2" s="21">
        <v>203</v>
      </c>
      <c r="H2" s="10" t="s">
        <v>21</v>
      </c>
      <c r="I2" s="10">
        <v>-20.61</v>
      </c>
    </row>
    <row r="3" spans="1:9" ht="20" customHeight="1" x14ac:dyDescent="0.2">
      <c r="A3" s="10">
        <f t="shared" si="0"/>
        <v>2</v>
      </c>
      <c r="B3" s="10" t="s">
        <v>22</v>
      </c>
      <c r="C3" s="11" t="s">
        <v>23</v>
      </c>
      <c r="D3" s="12">
        <v>44851</v>
      </c>
      <c r="E3" s="12">
        <v>44882</v>
      </c>
      <c r="F3" s="21">
        <v>214.2</v>
      </c>
      <c r="G3" s="21">
        <v>347.8</v>
      </c>
      <c r="H3" s="10" t="s">
        <v>21</v>
      </c>
      <c r="I3" s="10">
        <v>62.37</v>
      </c>
    </row>
    <row r="4" spans="1:9" ht="20" customHeight="1" x14ac:dyDescent="0.2">
      <c r="A4" s="10">
        <f t="shared" si="0"/>
        <v>3</v>
      </c>
      <c r="B4" s="10" t="s">
        <v>24</v>
      </c>
      <c r="C4" s="11" t="s">
        <v>25</v>
      </c>
      <c r="D4" s="12">
        <v>44880</v>
      </c>
      <c r="E4" s="12">
        <v>44910</v>
      </c>
      <c r="F4" s="21">
        <v>321</v>
      </c>
      <c r="G4" s="21">
        <v>374.3</v>
      </c>
      <c r="H4" s="10" t="s">
        <v>21</v>
      </c>
      <c r="I4" s="10">
        <v>16.600000000000001</v>
      </c>
    </row>
    <row r="5" spans="1:9" ht="20" customHeight="1" x14ac:dyDescent="0.2">
      <c r="A5" s="10">
        <f t="shared" si="0"/>
        <v>4</v>
      </c>
      <c r="B5" s="10" t="s">
        <v>26</v>
      </c>
      <c r="C5" s="11" t="s">
        <v>27</v>
      </c>
      <c r="D5" s="12">
        <v>44909</v>
      </c>
      <c r="E5" s="12">
        <v>44940</v>
      </c>
      <c r="F5" s="21">
        <v>237.6</v>
      </c>
      <c r="G5" s="21">
        <v>414.9</v>
      </c>
      <c r="H5" s="10" t="s">
        <v>21</v>
      </c>
      <c r="I5" s="10">
        <v>70.03</v>
      </c>
    </row>
    <row r="6" spans="1:9" ht="20" customHeight="1" x14ac:dyDescent="0.2">
      <c r="A6" s="10">
        <f t="shared" si="0"/>
        <v>5</v>
      </c>
      <c r="B6" s="10" t="s">
        <v>28</v>
      </c>
      <c r="C6" s="11" t="s">
        <v>29</v>
      </c>
      <c r="D6" s="12">
        <v>44909</v>
      </c>
      <c r="E6" s="12">
        <v>44940</v>
      </c>
      <c r="F6" s="21">
        <v>270</v>
      </c>
      <c r="G6" s="21">
        <v>297</v>
      </c>
      <c r="H6" s="10" t="s">
        <v>21</v>
      </c>
      <c r="I6" s="10">
        <v>0</v>
      </c>
    </row>
    <row r="7" spans="1:9" ht="20" customHeight="1" x14ac:dyDescent="0.2">
      <c r="A7" s="10">
        <f t="shared" si="0"/>
        <v>6</v>
      </c>
      <c r="B7" s="10" t="s">
        <v>30</v>
      </c>
      <c r="C7" s="11" t="s">
        <v>31</v>
      </c>
      <c r="D7" s="12">
        <v>44915</v>
      </c>
      <c r="E7" s="12">
        <v>44946</v>
      </c>
      <c r="F7" s="21">
        <v>996.6</v>
      </c>
      <c r="G7" s="21">
        <v>2320.1</v>
      </c>
      <c r="H7" s="10" t="s">
        <v>21</v>
      </c>
      <c r="I7" s="10">
        <v>127.77</v>
      </c>
    </row>
    <row r="8" spans="1:9" ht="20" customHeight="1" x14ac:dyDescent="0.2">
      <c r="A8" s="10">
        <f t="shared" si="0"/>
        <v>7</v>
      </c>
      <c r="B8" s="10" t="s">
        <v>32</v>
      </c>
      <c r="C8" s="11" t="s">
        <v>33</v>
      </c>
      <c r="D8" s="12">
        <v>44930</v>
      </c>
      <c r="E8" s="12">
        <v>44961</v>
      </c>
      <c r="F8" s="21">
        <v>213.7</v>
      </c>
      <c r="G8" s="21">
        <v>567</v>
      </c>
      <c r="H8" s="10" t="s">
        <v>21</v>
      </c>
      <c r="I8" s="10">
        <v>168.13</v>
      </c>
    </row>
    <row r="9" spans="1:9" ht="20" customHeight="1" x14ac:dyDescent="0.2">
      <c r="A9" s="10">
        <f t="shared" si="0"/>
        <v>8</v>
      </c>
      <c r="B9" s="10" t="s">
        <v>34</v>
      </c>
      <c r="C9" s="11" t="s">
        <v>35</v>
      </c>
      <c r="D9" s="12">
        <v>44990</v>
      </c>
      <c r="E9" s="12">
        <v>45021</v>
      </c>
      <c r="F9" s="21">
        <v>328.9</v>
      </c>
      <c r="G9" s="21">
        <v>380</v>
      </c>
      <c r="H9" s="10" t="s">
        <v>21</v>
      </c>
      <c r="I9" s="10">
        <v>15.54</v>
      </c>
    </row>
    <row r="10" spans="1:9" ht="20" customHeight="1" x14ac:dyDescent="0.2">
      <c r="A10" s="10">
        <f t="shared" si="0"/>
        <v>9</v>
      </c>
      <c r="B10" s="10" t="s">
        <v>36</v>
      </c>
      <c r="C10" s="11" t="s">
        <v>37</v>
      </c>
      <c r="D10" s="12">
        <v>44992</v>
      </c>
      <c r="E10" s="12">
        <v>45023</v>
      </c>
      <c r="F10" s="21">
        <v>291.5</v>
      </c>
      <c r="G10" s="21">
        <v>515</v>
      </c>
      <c r="H10" s="10" t="s">
        <v>21</v>
      </c>
      <c r="I10" s="10">
        <v>83.22</v>
      </c>
    </row>
    <row r="11" spans="1:9" ht="20" customHeight="1" x14ac:dyDescent="0.2">
      <c r="A11" s="10">
        <f t="shared" si="0"/>
        <v>10</v>
      </c>
      <c r="B11" s="10" t="s">
        <v>38</v>
      </c>
      <c r="C11" s="11" t="s">
        <v>39</v>
      </c>
      <c r="D11" s="12">
        <v>45007</v>
      </c>
      <c r="E11" s="12">
        <v>45038</v>
      </c>
      <c r="F11" s="21">
        <v>292</v>
      </c>
      <c r="G11" s="21">
        <v>275</v>
      </c>
      <c r="H11" s="10" t="s">
        <v>21</v>
      </c>
      <c r="I11" s="10">
        <v>-2.57</v>
      </c>
    </row>
    <row r="12" spans="1:9" ht="20" customHeight="1" x14ac:dyDescent="0.2">
      <c r="A12" s="10">
        <f t="shared" si="0"/>
        <v>11</v>
      </c>
      <c r="B12" s="10" t="s">
        <v>40</v>
      </c>
      <c r="C12" s="11" t="s">
        <v>41</v>
      </c>
      <c r="D12" s="12">
        <v>45008</v>
      </c>
      <c r="E12" s="12">
        <v>45039</v>
      </c>
      <c r="F12" s="21">
        <v>328.6</v>
      </c>
      <c r="G12" s="21">
        <v>376</v>
      </c>
      <c r="H12" s="10" t="s">
        <v>21</v>
      </c>
      <c r="I12" s="10">
        <v>14.42</v>
      </c>
    </row>
    <row r="13" spans="1:9" ht="20" customHeight="1" x14ac:dyDescent="0.2">
      <c r="A13" s="10">
        <f t="shared" si="0"/>
        <v>12</v>
      </c>
      <c r="B13" s="10" t="s">
        <v>42</v>
      </c>
      <c r="C13" s="11" t="s">
        <v>43</v>
      </c>
      <c r="D13" s="12">
        <v>45008</v>
      </c>
      <c r="E13" s="12">
        <v>45039</v>
      </c>
      <c r="F13" s="21">
        <v>139.69999999999999</v>
      </c>
      <c r="G13" s="21">
        <v>888.5</v>
      </c>
      <c r="H13" s="10" t="s">
        <v>21</v>
      </c>
      <c r="I13" s="10">
        <v>536.01</v>
      </c>
    </row>
    <row r="14" spans="1:9" ht="20" customHeight="1" x14ac:dyDescent="0.2">
      <c r="A14" s="10">
        <f t="shared" si="0"/>
        <v>13</v>
      </c>
      <c r="B14" s="10" t="s">
        <v>44</v>
      </c>
      <c r="C14" s="11" t="s">
        <v>45</v>
      </c>
      <c r="D14" s="12">
        <v>45012</v>
      </c>
      <c r="E14" s="12">
        <v>45043</v>
      </c>
      <c r="F14" s="21">
        <v>430.1</v>
      </c>
      <c r="G14" s="21">
        <v>563</v>
      </c>
      <c r="H14" s="10" t="s">
        <v>21</v>
      </c>
      <c r="I14" s="10">
        <v>30.9</v>
      </c>
    </row>
    <row r="15" spans="1:9" ht="20" customHeight="1" x14ac:dyDescent="0.2">
      <c r="A15" s="10">
        <f t="shared" si="0"/>
        <v>14</v>
      </c>
      <c r="B15" s="10" t="s">
        <v>46</v>
      </c>
      <c r="C15" s="11" t="s">
        <v>47</v>
      </c>
      <c r="D15" s="12">
        <v>45026</v>
      </c>
      <c r="E15" s="12">
        <v>45056</v>
      </c>
      <c r="F15" s="21">
        <v>324.5</v>
      </c>
      <c r="G15" s="21">
        <v>270</v>
      </c>
      <c r="H15" s="10" t="s">
        <v>21</v>
      </c>
      <c r="I15" s="10">
        <v>-16.8</v>
      </c>
    </row>
    <row r="16" spans="1:9" ht="20" customHeight="1" x14ac:dyDescent="0.2">
      <c r="A16" s="10">
        <f t="shared" si="0"/>
        <v>15</v>
      </c>
      <c r="B16" s="10" t="s">
        <v>48</v>
      </c>
      <c r="C16" s="11" t="s">
        <v>49</v>
      </c>
      <c r="D16" s="12">
        <v>45029</v>
      </c>
      <c r="E16" s="12">
        <v>45059</v>
      </c>
      <c r="F16" s="21">
        <v>155.1</v>
      </c>
      <c r="G16" s="21">
        <v>210.9</v>
      </c>
      <c r="H16" s="10" t="s">
        <v>21</v>
      </c>
      <c r="I16" s="10">
        <v>39.26</v>
      </c>
    </row>
    <row r="17" spans="1:9" ht="20" customHeight="1" x14ac:dyDescent="0.2">
      <c r="A17" s="10">
        <f t="shared" si="0"/>
        <v>16</v>
      </c>
      <c r="B17" s="10" t="s">
        <v>50</v>
      </c>
      <c r="C17" s="11" t="s">
        <v>51</v>
      </c>
      <c r="D17" s="12">
        <v>45029</v>
      </c>
      <c r="E17" s="12">
        <v>45059</v>
      </c>
      <c r="F17" s="21">
        <v>340</v>
      </c>
      <c r="G17" s="21">
        <v>240.3</v>
      </c>
      <c r="H17" s="10" t="s">
        <v>21</v>
      </c>
      <c r="I17" s="10">
        <v>-27.94</v>
      </c>
    </row>
    <row r="18" spans="1:9" ht="20" customHeight="1" x14ac:dyDescent="0.2">
      <c r="A18" s="10">
        <f t="shared" si="0"/>
        <v>17</v>
      </c>
      <c r="B18" s="10" t="s">
        <v>52</v>
      </c>
      <c r="C18" s="11" t="s">
        <v>53</v>
      </c>
      <c r="D18" s="12">
        <v>45048</v>
      </c>
      <c r="E18" s="12">
        <v>45079</v>
      </c>
      <c r="F18" s="21">
        <v>436.9</v>
      </c>
      <c r="G18" s="21">
        <v>1949</v>
      </c>
      <c r="H18" s="10" t="s">
        <v>21</v>
      </c>
      <c r="I18" s="10">
        <v>333.05</v>
      </c>
    </row>
    <row r="19" spans="1:9" ht="20" customHeight="1" x14ac:dyDescent="0.2">
      <c r="A19" s="10">
        <f t="shared" si="0"/>
        <v>18</v>
      </c>
      <c r="B19" s="10" t="s">
        <v>54</v>
      </c>
      <c r="C19" s="11" t="s">
        <v>55</v>
      </c>
      <c r="D19" s="12">
        <v>45053</v>
      </c>
      <c r="E19" s="12">
        <v>45084</v>
      </c>
      <c r="F19" s="21">
        <v>255</v>
      </c>
      <c r="G19" s="21">
        <v>282</v>
      </c>
      <c r="H19" s="10" t="s">
        <v>21</v>
      </c>
      <c r="I19" s="10">
        <v>10.59</v>
      </c>
    </row>
    <row r="20" spans="1:9" ht="20" customHeight="1" x14ac:dyDescent="0.2">
      <c r="A20" s="10">
        <f t="shared" si="0"/>
        <v>19</v>
      </c>
      <c r="B20" s="10" t="s">
        <v>56</v>
      </c>
      <c r="C20" s="11" t="s">
        <v>57</v>
      </c>
      <c r="D20" s="12">
        <v>45062</v>
      </c>
      <c r="E20" s="12">
        <v>45093</v>
      </c>
      <c r="F20" s="21">
        <v>301.5</v>
      </c>
      <c r="G20" s="21">
        <v>315.89999999999998</v>
      </c>
      <c r="H20" s="10" t="s">
        <v>21</v>
      </c>
      <c r="I20" s="10">
        <v>3.15</v>
      </c>
    </row>
    <row r="21" spans="1:9" ht="20" customHeight="1" x14ac:dyDescent="0.2">
      <c r="A21" s="10">
        <f t="shared" si="0"/>
        <v>20</v>
      </c>
      <c r="B21" s="10" t="s">
        <v>58</v>
      </c>
      <c r="C21" s="11" t="s">
        <v>59</v>
      </c>
      <c r="D21" s="12">
        <v>45085</v>
      </c>
      <c r="E21" s="12">
        <v>45115</v>
      </c>
      <c r="F21" s="21">
        <v>223</v>
      </c>
      <c r="G21" s="21">
        <v>229</v>
      </c>
      <c r="H21" s="10" t="s">
        <v>21</v>
      </c>
      <c r="I21" s="10">
        <v>0.45</v>
      </c>
    </row>
    <row r="22" spans="1:9" ht="20" customHeight="1" x14ac:dyDescent="0.2">
      <c r="A22" s="10">
        <f t="shared" si="0"/>
        <v>21</v>
      </c>
      <c r="B22" s="10" t="s">
        <v>60</v>
      </c>
      <c r="C22" s="11" t="s">
        <v>61</v>
      </c>
      <c r="D22" s="12">
        <v>45085</v>
      </c>
      <c r="E22" s="12">
        <v>45115</v>
      </c>
      <c r="F22" s="21">
        <v>287.10000000000002</v>
      </c>
      <c r="G22" s="21">
        <v>235</v>
      </c>
      <c r="H22" s="10" t="s">
        <v>21</v>
      </c>
      <c r="I22" s="10">
        <v>-16.510000000000002</v>
      </c>
    </row>
    <row r="23" spans="1:9" ht="20" customHeight="1" x14ac:dyDescent="0.2">
      <c r="A23" s="10">
        <f t="shared" si="0"/>
        <v>22</v>
      </c>
      <c r="B23" s="10" t="s">
        <v>62</v>
      </c>
      <c r="C23" s="11" t="s">
        <v>63</v>
      </c>
      <c r="D23" s="12">
        <v>45088</v>
      </c>
      <c r="E23" s="12">
        <v>45118</v>
      </c>
      <c r="F23" s="21">
        <v>122.2</v>
      </c>
      <c r="G23" s="21">
        <v>686</v>
      </c>
      <c r="H23" s="10" t="s">
        <v>21</v>
      </c>
      <c r="I23" s="10">
        <v>461.37</v>
      </c>
    </row>
    <row r="24" spans="1:9" ht="20" customHeight="1" x14ac:dyDescent="0.2">
      <c r="A24" s="10">
        <f t="shared" si="0"/>
        <v>23</v>
      </c>
      <c r="B24" s="10" t="s">
        <v>64</v>
      </c>
      <c r="C24" s="11" t="s">
        <v>65</v>
      </c>
      <c r="D24" s="12">
        <v>45095</v>
      </c>
      <c r="E24" s="12">
        <v>45125</v>
      </c>
      <c r="F24" s="21">
        <v>255.2</v>
      </c>
      <c r="G24" s="21">
        <v>227.8</v>
      </c>
      <c r="H24" s="10" t="s">
        <v>21</v>
      </c>
      <c r="I24" s="10">
        <v>-10.74</v>
      </c>
    </row>
    <row r="25" spans="1:9" ht="20" customHeight="1" x14ac:dyDescent="0.2">
      <c r="A25" s="10">
        <f t="shared" si="0"/>
        <v>24</v>
      </c>
      <c r="B25" s="10" t="s">
        <v>66</v>
      </c>
      <c r="C25" s="11" t="s">
        <v>67</v>
      </c>
      <c r="D25" s="12">
        <v>45097</v>
      </c>
      <c r="E25" s="12">
        <v>45127</v>
      </c>
      <c r="F25" s="21">
        <v>320.89999999999998</v>
      </c>
      <c r="G25" s="21">
        <v>260</v>
      </c>
      <c r="H25" s="10" t="s">
        <v>21</v>
      </c>
      <c r="I25" s="10">
        <v>-18.98</v>
      </c>
    </row>
    <row r="26" spans="1:9" ht="20" customHeight="1" x14ac:dyDescent="0.2">
      <c r="A26" s="10">
        <f t="shared" si="0"/>
        <v>25</v>
      </c>
      <c r="B26" s="10" t="s">
        <v>68</v>
      </c>
      <c r="C26" s="11" t="s">
        <v>69</v>
      </c>
      <c r="D26" s="12">
        <v>45112</v>
      </c>
      <c r="E26" s="12">
        <v>45143</v>
      </c>
      <c r="F26" s="21">
        <v>243</v>
      </c>
      <c r="G26" s="21">
        <v>202</v>
      </c>
      <c r="H26" s="10" t="s">
        <v>21</v>
      </c>
      <c r="I26" s="10">
        <v>-14.81</v>
      </c>
    </row>
    <row r="27" spans="1:9" ht="20" customHeight="1" x14ac:dyDescent="0.2">
      <c r="A27" s="10">
        <f t="shared" si="0"/>
        <v>26</v>
      </c>
      <c r="B27" s="10" t="s">
        <v>70</v>
      </c>
      <c r="C27" s="11" t="s">
        <v>71</v>
      </c>
      <c r="D27" s="12">
        <v>45112</v>
      </c>
      <c r="E27" s="12">
        <v>45143</v>
      </c>
      <c r="F27" s="21">
        <v>274.2</v>
      </c>
      <c r="G27" s="21">
        <v>360</v>
      </c>
      <c r="H27" s="10" t="s">
        <v>21</v>
      </c>
      <c r="I27" s="10">
        <v>32.75</v>
      </c>
    </row>
    <row r="28" spans="1:9" ht="20" customHeight="1" x14ac:dyDescent="0.2">
      <c r="A28" s="10">
        <f t="shared" si="0"/>
        <v>27</v>
      </c>
      <c r="B28" s="10" t="s">
        <v>72</v>
      </c>
      <c r="C28" s="11" t="s">
        <v>73</v>
      </c>
      <c r="D28" s="12">
        <v>45144</v>
      </c>
      <c r="E28" s="12">
        <v>45175</v>
      </c>
      <c r="F28" s="21">
        <v>582.4</v>
      </c>
      <c r="G28" s="21">
        <v>545.5</v>
      </c>
      <c r="H28" s="10" t="s">
        <v>21</v>
      </c>
      <c r="I28" s="10">
        <v>-4.46</v>
      </c>
    </row>
    <row r="29" spans="1:9" ht="20" customHeight="1" x14ac:dyDescent="0.2">
      <c r="A29" s="10">
        <f t="shared" si="0"/>
        <v>28</v>
      </c>
      <c r="B29" s="10" t="s">
        <v>74</v>
      </c>
      <c r="C29" s="11" t="s">
        <v>75</v>
      </c>
      <c r="D29" s="12">
        <v>45144</v>
      </c>
      <c r="E29" s="12">
        <v>45175</v>
      </c>
      <c r="F29" s="21">
        <v>275.39999999999998</v>
      </c>
      <c r="G29" s="21">
        <v>230</v>
      </c>
      <c r="H29" s="10" t="s">
        <v>21</v>
      </c>
      <c r="I29" s="10">
        <v>-15.4</v>
      </c>
    </row>
    <row r="30" spans="1:9" ht="20" customHeight="1" x14ac:dyDescent="0.2">
      <c r="A30" s="10">
        <f t="shared" si="0"/>
        <v>29</v>
      </c>
      <c r="B30" s="10" t="s">
        <v>76</v>
      </c>
      <c r="C30" s="11" t="s">
        <v>77</v>
      </c>
      <c r="D30" s="12">
        <v>45151</v>
      </c>
      <c r="E30" s="12">
        <v>45182</v>
      </c>
      <c r="F30" s="21">
        <v>509</v>
      </c>
      <c r="G30" s="21">
        <v>483</v>
      </c>
      <c r="H30" s="10" t="s">
        <v>21</v>
      </c>
      <c r="I30" s="10">
        <v>-5.1100000000000003</v>
      </c>
    </row>
    <row r="31" spans="1:9" ht="20" customHeight="1" x14ac:dyDescent="0.2">
      <c r="A31" s="10">
        <f t="shared" si="0"/>
        <v>30</v>
      </c>
      <c r="B31" s="10" t="s">
        <v>78</v>
      </c>
      <c r="C31" s="11" t="s">
        <v>79</v>
      </c>
      <c r="D31" s="12">
        <v>45151</v>
      </c>
      <c r="E31" s="12">
        <v>45182</v>
      </c>
      <c r="F31" s="21">
        <v>280.5</v>
      </c>
      <c r="G31" s="21">
        <v>313</v>
      </c>
      <c r="H31" s="10" t="s">
        <v>21</v>
      </c>
      <c r="I31" s="10">
        <v>11.59</v>
      </c>
    </row>
    <row r="32" spans="1:9" ht="20" customHeight="1" x14ac:dyDescent="0.2">
      <c r="A32" s="10">
        <f t="shared" si="0"/>
        <v>31</v>
      </c>
      <c r="B32" s="10" t="s">
        <v>80</v>
      </c>
      <c r="C32" s="11" t="s">
        <v>81</v>
      </c>
      <c r="D32" s="12">
        <v>45151</v>
      </c>
      <c r="E32" s="12">
        <v>45182</v>
      </c>
      <c r="F32" s="21">
        <v>278.89999999999998</v>
      </c>
      <c r="G32" s="21">
        <v>316.2</v>
      </c>
      <c r="H32" s="10" t="s">
        <v>21</v>
      </c>
      <c r="I32" s="10">
        <v>13.37</v>
      </c>
    </row>
    <row r="33" spans="1:9" ht="20" customHeight="1" x14ac:dyDescent="0.2">
      <c r="A33" s="10">
        <f t="shared" si="0"/>
        <v>32</v>
      </c>
      <c r="B33" s="10" t="s">
        <v>82</v>
      </c>
      <c r="C33" s="11" t="s">
        <v>83</v>
      </c>
      <c r="D33" s="12">
        <v>45159</v>
      </c>
      <c r="E33" s="12">
        <v>45190</v>
      </c>
      <c r="F33" s="21">
        <v>526.9</v>
      </c>
      <c r="G33" s="21">
        <v>833</v>
      </c>
      <c r="H33" s="10" t="s">
        <v>21</v>
      </c>
      <c r="I33" s="10">
        <v>58.09</v>
      </c>
    </row>
    <row r="34" spans="1:9" ht="20" customHeight="1" x14ac:dyDescent="0.2">
      <c r="A34" s="10">
        <f t="shared" ref="A34:A65" si="1">ROW()-1</f>
        <v>33</v>
      </c>
      <c r="B34" s="10" t="s">
        <v>84</v>
      </c>
      <c r="C34" s="11" t="s">
        <v>85</v>
      </c>
      <c r="D34" s="12">
        <v>45186</v>
      </c>
      <c r="E34" s="12">
        <v>45216</v>
      </c>
      <c r="F34" s="21">
        <v>495</v>
      </c>
      <c r="G34" s="21">
        <v>411.5</v>
      </c>
      <c r="H34" s="10" t="s">
        <v>21</v>
      </c>
      <c r="I34" s="10">
        <v>-16.87</v>
      </c>
    </row>
    <row r="35" spans="1:9" ht="20" customHeight="1" x14ac:dyDescent="0.2">
      <c r="A35" s="10">
        <f t="shared" si="1"/>
        <v>34</v>
      </c>
      <c r="B35" s="10" t="s">
        <v>86</v>
      </c>
      <c r="C35" s="11" t="s">
        <v>87</v>
      </c>
      <c r="D35" s="12">
        <v>45190</v>
      </c>
      <c r="E35" s="12">
        <v>45220</v>
      </c>
      <c r="F35" s="21">
        <v>470</v>
      </c>
      <c r="G35" s="21">
        <v>417.4</v>
      </c>
      <c r="H35" s="10" t="s">
        <v>21</v>
      </c>
      <c r="I35" s="10">
        <v>-9.49</v>
      </c>
    </row>
    <row r="36" spans="1:9" ht="20" customHeight="1" x14ac:dyDescent="0.2">
      <c r="A36" s="10">
        <f t="shared" si="1"/>
        <v>35</v>
      </c>
      <c r="B36" s="10" t="s">
        <v>88</v>
      </c>
      <c r="C36" s="11" t="s">
        <v>89</v>
      </c>
      <c r="D36" s="12">
        <v>45194</v>
      </c>
      <c r="E36" s="12">
        <v>45224</v>
      </c>
      <c r="F36" s="21">
        <v>225</v>
      </c>
      <c r="G36" s="21">
        <v>194</v>
      </c>
      <c r="H36" s="10" t="s">
        <v>21</v>
      </c>
      <c r="I36" s="10">
        <v>-10.31</v>
      </c>
    </row>
    <row r="37" spans="1:9" ht="20" customHeight="1" x14ac:dyDescent="0.2">
      <c r="A37" s="10">
        <f t="shared" si="1"/>
        <v>36</v>
      </c>
      <c r="B37" s="10" t="s">
        <v>90</v>
      </c>
      <c r="C37" s="11" t="s">
        <v>91</v>
      </c>
      <c r="D37" s="12">
        <v>45194</v>
      </c>
      <c r="E37" s="12">
        <v>45224</v>
      </c>
      <c r="F37" s="21">
        <v>264</v>
      </c>
      <c r="G37" s="21">
        <v>265</v>
      </c>
      <c r="H37" s="10" t="s">
        <v>21</v>
      </c>
      <c r="I37" s="10">
        <v>2.65</v>
      </c>
    </row>
    <row r="38" spans="1:9" ht="20" customHeight="1" x14ac:dyDescent="0.2">
      <c r="A38" s="10">
        <f t="shared" si="1"/>
        <v>37</v>
      </c>
      <c r="B38" s="10" t="s">
        <v>92</v>
      </c>
      <c r="C38" s="11" t="s">
        <v>93</v>
      </c>
      <c r="D38" s="12">
        <v>45200</v>
      </c>
      <c r="E38" s="12">
        <v>45231</v>
      </c>
      <c r="F38" s="21">
        <v>457.2</v>
      </c>
      <c r="G38" s="21">
        <v>389</v>
      </c>
      <c r="H38" s="10" t="s">
        <v>21</v>
      </c>
      <c r="I38" s="10">
        <v>-14.92</v>
      </c>
    </row>
    <row r="39" spans="1:9" ht="20" customHeight="1" x14ac:dyDescent="0.2">
      <c r="A39" s="10">
        <f t="shared" si="1"/>
        <v>38</v>
      </c>
      <c r="B39" s="10" t="s">
        <v>94</v>
      </c>
      <c r="C39" s="11" t="s">
        <v>95</v>
      </c>
      <c r="D39" s="12">
        <v>45210</v>
      </c>
      <c r="E39" s="12">
        <v>45241</v>
      </c>
      <c r="F39" s="21">
        <v>410.5</v>
      </c>
      <c r="G39" s="21">
        <v>462</v>
      </c>
      <c r="H39" s="10" t="s">
        <v>21</v>
      </c>
      <c r="I39" s="10">
        <v>10.11</v>
      </c>
    </row>
    <row r="40" spans="1:9" ht="20" customHeight="1" x14ac:dyDescent="0.2">
      <c r="A40" s="10">
        <f t="shared" si="1"/>
        <v>39</v>
      </c>
      <c r="B40" s="10" t="s">
        <v>96</v>
      </c>
      <c r="C40" s="11" t="s">
        <v>97</v>
      </c>
      <c r="D40" s="12">
        <v>45210</v>
      </c>
      <c r="E40" s="12">
        <v>45241</v>
      </c>
      <c r="F40" s="21">
        <v>313.7</v>
      </c>
      <c r="G40" s="21">
        <v>383</v>
      </c>
      <c r="H40" s="10" t="s">
        <v>21</v>
      </c>
      <c r="I40" s="10">
        <v>13.8</v>
      </c>
    </row>
    <row r="41" spans="1:9" ht="20" customHeight="1" x14ac:dyDescent="0.2">
      <c r="A41" s="10">
        <f t="shared" si="1"/>
        <v>40</v>
      </c>
      <c r="B41" s="10" t="s">
        <v>98</v>
      </c>
      <c r="C41" s="11" t="s">
        <v>99</v>
      </c>
      <c r="D41" s="12">
        <v>45211</v>
      </c>
      <c r="E41" s="12">
        <v>45242</v>
      </c>
      <c r="F41" s="21">
        <v>397.2</v>
      </c>
      <c r="G41" s="21">
        <v>389</v>
      </c>
      <c r="H41" s="10" t="s">
        <v>21</v>
      </c>
      <c r="I41" s="10">
        <v>-4.7300000000000004</v>
      </c>
    </row>
    <row r="42" spans="1:9" ht="20" customHeight="1" x14ac:dyDescent="0.2">
      <c r="A42" s="10">
        <f t="shared" si="1"/>
        <v>41</v>
      </c>
      <c r="B42" s="10" t="s">
        <v>100</v>
      </c>
      <c r="C42" s="11" t="s">
        <v>101</v>
      </c>
      <c r="D42" s="12">
        <v>45211</v>
      </c>
      <c r="E42" s="12">
        <v>45242</v>
      </c>
      <c r="F42" s="21">
        <v>330</v>
      </c>
      <c r="G42" s="21">
        <v>330</v>
      </c>
      <c r="H42" s="10" t="s">
        <v>21</v>
      </c>
      <c r="I42" s="10">
        <v>-1.18</v>
      </c>
    </row>
    <row r="43" spans="1:9" ht="20" customHeight="1" x14ac:dyDescent="0.2">
      <c r="A43" s="10">
        <f t="shared" si="1"/>
        <v>42</v>
      </c>
      <c r="B43" s="10" t="s">
        <v>102</v>
      </c>
      <c r="C43" s="11" t="s">
        <v>103</v>
      </c>
      <c r="D43" s="12">
        <v>45228</v>
      </c>
      <c r="E43" s="12">
        <v>45259</v>
      </c>
      <c r="F43" s="21">
        <v>315</v>
      </c>
      <c r="G43" s="21">
        <v>295.5</v>
      </c>
      <c r="H43" s="10" t="s">
        <v>21</v>
      </c>
      <c r="I43" s="10">
        <v>-6.19</v>
      </c>
    </row>
    <row r="44" spans="1:9" ht="20" customHeight="1" x14ac:dyDescent="0.2">
      <c r="A44" s="10">
        <f t="shared" si="1"/>
        <v>43</v>
      </c>
      <c r="B44" s="10" t="s">
        <v>104</v>
      </c>
      <c r="C44" s="11" t="s">
        <v>105</v>
      </c>
      <c r="D44" s="12">
        <v>45250</v>
      </c>
      <c r="E44" s="12">
        <v>45280</v>
      </c>
      <c r="F44" s="21">
        <v>259.60000000000002</v>
      </c>
      <c r="G44" s="21">
        <v>318</v>
      </c>
      <c r="H44" s="10" t="s">
        <v>21</v>
      </c>
      <c r="I44" s="10">
        <v>22.5</v>
      </c>
    </row>
    <row r="45" spans="1:9" ht="20" customHeight="1" x14ac:dyDescent="0.2">
      <c r="A45" s="10">
        <f t="shared" si="1"/>
        <v>44</v>
      </c>
      <c r="B45" s="10" t="s">
        <v>106</v>
      </c>
      <c r="C45" s="11" t="s">
        <v>107</v>
      </c>
      <c r="D45" s="12">
        <v>45267</v>
      </c>
      <c r="E45" s="12">
        <v>45298</v>
      </c>
      <c r="F45" s="21">
        <v>294.8</v>
      </c>
      <c r="G45" s="21">
        <v>381</v>
      </c>
      <c r="H45" s="10" t="s">
        <v>21</v>
      </c>
      <c r="I45" s="10">
        <v>29.24</v>
      </c>
    </row>
    <row r="46" spans="1:9" ht="20" customHeight="1" x14ac:dyDescent="0.2">
      <c r="A46" s="10">
        <f t="shared" si="1"/>
        <v>45</v>
      </c>
      <c r="B46" s="10" t="s">
        <v>108</v>
      </c>
      <c r="C46" s="11" t="s">
        <v>109</v>
      </c>
      <c r="D46" s="12">
        <v>45274</v>
      </c>
      <c r="E46" s="12">
        <v>45305</v>
      </c>
      <c r="F46" s="21">
        <v>196.6</v>
      </c>
      <c r="G46" s="21">
        <v>1090.5999999999999</v>
      </c>
      <c r="H46" s="10" t="s">
        <v>21</v>
      </c>
      <c r="I46" s="10">
        <v>454.73</v>
      </c>
    </row>
    <row r="47" spans="1:9" ht="20" customHeight="1" x14ac:dyDescent="0.2">
      <c r="A47" s="10">
        <f t="shared" si="1"/>
        <v>46</v>
      </c>
      <c r="B47" s="10" t="s">
        <v>110</v>
      </c>
      <c r="C47" s="11" t="s">
        <v>111</v>
      </c>
      <c r="D47" s="12">
        <v>45281</v>
      </c>
      <c r="E47" s="12">
        <v>45312</v>
      </c>
      <c r="F47" s="21">
        <v>330</v>
      </c>
      <c r="G47" s="21">
        <v>518</v>
      </c>
      <c r="H47" s="10" t="s">
        <v>21</v>
      </c>
      <c r="I47" s="10">
        <v>56.97</v>
      </c>
    </row>
    <row r="48" spans="1:9" ht="20" customHeight="1" x14ac:dyDescent="0.2">
      <c r="A48" s="10">
        <f t="shared" si="1"/>
        <v>47</v>
      </c>
      <c r="B48" s="10" t="s">
        <v>112</v>
      </c>
      <c r="C48" s="11" t="s">
        <v>113</v>
      </c>
      <c r="D48" s="12">
        <v>45281</v>
      </c>
      <c r="E48" s="12">
        <v>45312</v>
      </c>
      <c r="F48" s="21">
        <v>229.6</v>
      </c>
      <c r="G48" s="21">
        <v>892.6</v>
      </c>
      <c r="H48" s="10" t="s">
        <v>21</v>
      </c>
      <c r="I48" s="10">
        <v>288.76</v>
      </c>
    </row>
    <row r="49" spans="1:9" ht="20" customHeight="1" x14ac:dyDescent="0.2">
      <c r="A49" s="10">
        <f t="shared" si="1"/>
        <v>48</v>
      </c>
      <c r="B49" s="10" t="s">
        <v>114</v>
      </c>
      <c r="C49" s="11" t="s">
        <v>115</v>
      </c>
      <c r="D49" s="12">
        <v>45281</v>
      </c>
      <c r="E49" s="12">
        <v>45312</v>
      </c>
      <c r="F49" s="21">
        <v>401.8</v>
      </c>
      <c r="G49" s="21">
        <v>541</v>
      </c>
      <c r="H49" s="10" t="s">
        <v>21</v>
      </c>
      <c r="I49" s="10">
        <v>34.64</v>
      </c>
    </row>
    <row r="50" spans="1:9" ht="20" customHeight="1" x14ac:dyDescent="0.2">
      <c r="A50" s="6">
        <f t="shared" si="1"/>
        <v>49</v>
      </c>
      <c r="B50" s="6" t="s">
        <v>116</v>
      </c>
      <c r="C50" s="7" t="s">
        <v>117</v>
      </c>
      <c r="D50" s="8">
        <v>45299</v>
      </c>
      <c r="E50" s="8">
        <v>45359</v>
      </c>
      <c r="F50" s="22">
        <v>340.1</v>
      </c>
      <c r="G50" s="22">
        <v>689</v>
      </c>
      <c r="H50" s="6" t="s">
        <v>118</v>
      </c>
      <c r="I50" s="6"/>
    </row>
    <row r="51" spans="1:9" ht="20" customHeight="1" x14ac:dyDescent="0.2">
      <c r="A51" s="10">
        <f t="shared" si="1"/>
        <v>50</v>
      </c>
      <c r="B51" s="10" t="s">
        <v>119</v>
      </c>
      <c r="C51" s="11" t="s">
        <v>120</v>
      </c>
      <c r="D51" s="12">
        <v>45370</v>
      </c>
      <c r="E51" s="12">
        <v>45401</v>
      </c>
      <c r="F51" s="21">
        <v>611.6</v>
      </c>
      <c r="G51" s="21">
        <v>818</v>
      </c>
      <c r="H51" s="10" t="s">
        <v>21</v>
      </c>
      <c r="I51" s="10">
        <v>27.99</v>
      </c>
    </row>
    <row r="52" spans="1:9" ht="20" customHeight="1" x14ac:dyDescent="0.2">
      <c r="A52" s="10">
        <f t="shared" si="1"/>
        <v>51</v>
      </c>
      <c r="B52" s="10" t="s">
        <v>121</v>
      </c>
      <c r="C52" s="11" t="s">
        <v>122</v>
      </c>
      <c r="D52" s="12">
        <v>45697</v>
      </c>
      <c r="E52" s="12">
        <v>45725</v>
      </c>
      <c r="F52" s="21">
        <v>331.1</v>
      </c>
      <c r="G52" s="21">
        <v>1839.4</v>
      </c>
      <c r="H52" s="10" t="s">
        <v>21</v>
      </c>
      <c r="I52" s="10">
        <v>455.54</v>
      </c>
    </row>
    <row r="53" spans="1:9" ht="20" customHeight="1" x14ac:dyDescent="0.2">
      <c r="A53" s="10">
        <f t="shared" si="1"/>
        <v>52</v>
      </c>
      <c r="B53" s="10" t="s">
        <v>123</v>
      </c>
      <c r="C53" s="11" t="s">
        <v>124</v>
      </c>
      <c r="D53" s="12">
        <v>45755</v>
      </c>
      <c r="E53" s="12">
        <v>45785</v>
      </c>
      <c r="F53" s="21">
        <v>332.5</v>
      </c>
      <c r="G53" s="21">
        <v>2234.1999999999998</v>
      </c>
      <c r="H53" s="10" t="s">
        <v>21</v>
      </c>
      <c r="I53" s="10">
        <v>571.94000000000005</v>
      </c>
    </row>
    <row r="54" spans="1:9" ht="20" customHeight="1" x14ac:dyDescent="0.2">
      <c r="A54" s="10">
        <f t="shared" si="1"/>
        <v>53</v>
      </c>
      <c r="B54" s="10" t="s">
        <v>125</v>
      </c>
      <c r="C54" s="11" t="s">
        <v>126</v>
      </c>
      <c r="D54" s="12">
        <v>45757</v>
      </c>
      <c r="E54" s="12">
        <v>45787</v>
      </c>
      <c r="F54" s="21">
        <v>332.7</v>
      </c>
      <c r="G54" s="21">
        <v>2031.7</v>
      </c>
      <c r="H54" s="10" t="s">
        <v>21</v>
      </c>
      <c r="I54" s="10">
        <v>455.15</v>
      </c>
    </row>
    <row r="55" spans="1:9" ht="20" customHeight="1" x14ac:dyDescent="0.2">
      <c r="A55" s="10">
        <f t="shared" si="1"/>
        <v>54</v>
      </c>
      <c r="B55" s="10" t="s">
        <v>127</v>
      </c>
      <c r="C55" s="11" t="s">
        <v>128</v>
      </c>
      <c r="D55" s="12">
        <v>45781</v>
      </c>
      <c r="E55" s="12">
        <v>45812</v>
      </c>
      <c r="F55" s="21">
        <v>297</v>
      </c>
      <c r="G55" s="21">
        <v>1994.7</v>
      </c>
      <c r="H55" s="10" t="s">
        <v>21</v>
      </c>
      <c r="I55" s="10">
        <v>571.62</v>
      </c>
    </row>
    <row r="56" spans="1:9" ht="20" customHeight="1" x14ac:dyDescent="0.2">
      <c r="A56" s="10">
        <f t="shared" si="1"/>
        <v>55</v>
      </c>
      <c r="B56" s="10" t="s">
        <v>129</v>
      </c>
      <c r="C56" s="11" t="s">
        <v>130</v>
      </c>
      <c r="D56" s="12">
        <v>45804</v>
      </c>
      <c r="E56" s="12">
        <v>45835</v>
      </c>
      <c r="F56" s="21">
        <v>318.2</v>
      </c>
      <c r="G56" s="21">
        <v>912.83</v>
      </c>
      <c r="H56" s="10" t="s">
        <v>21</v>
      </c>
      <c r="I56" s="10">
        <v>196.34</v>
      </c>
    </row>
    <row r="57" spans="1:9" ht="20" customHeight="1" x14ac:dyDescent="0.2">
      <c r="A57" s="10">
        <f t="shared" si="1"/>
        <v>56</v>
      </c>
      <c r="B57" s="10" t="s">
        <v>131</v>
      </c>
      <c r="C57" s="11" t="s">
        <v>132</v>
      </c>
      <c r="D57" s="12">
        <v>45855</v>
      </c>
      <c r="E57" s="12">
        <v>45886</v>
      </c>
      <c r="F57" s="21">
        <v>402.7</v>
      </c>
      <c r="G57" s="21">
        <v>883.45</v>
      </c>
      <c r="H57" s="10" t="s">
        <v>21</v>
      </c>
      <c r="I57" s="10">
        <v>119.38</v>
      </c>
    </row>
    <row r="58" spans="1:9" ht="20" customHeight="1" x14ac:dyDescent="0.2">
      <c r="A58" s="10">
        <f t="shared" si="1"/>
        <v>57</v>
      </c>
      <c r="B58" s="10" t="s">
        <v>133</v>
      </c>
      <c r="C58" s="11" t="s">
        <v>134</v>
      </c>
      <c r="D58" s="12">
        <v>45858</v>
      </c>
      <c r="E58" s="12">
        <v>45889</v>
      </c>
      <c r="F58" s="21">
        <v>394.9</v>
      </c>
      <c r="G58" s="21">
        <v>722.74</v>
      </c>
      <c r="H58" s="10" t="s">
        <v>21</v>
      </c>
      <c r="I58" s="10">
        <v>83.02</v>
      </c>
    </row>
    <row r="59" spans="1:9" ht="20" customHeight="1" x14ac:dyDescent="0.2">
      <c r="A59" s="10">
        <f t="shared" si="1"/>
        <v>58</v>
      </c>
      <c r="B59" s="10" t="s">
        <v>135</v>
      </c>
      <c r="C59" s="11" t="s">
        <v>136</v>
      </c>
      <c r="D59" s="12">
        <v>45889</v>
      </c>
      <c r="E59" s="12">
        <v>45920</v>
      </c>
      <c r="F59" s="21">
        <v>321.3</v>
      </c>
      <c r="G59" s="21">
        <v>437.52</v>
      </c>
      <c r="H59" s="10" t="s">
        <v>21</v>
      </c>
      <c r="I59" s="10">
        <v>29.47</v>
      </c>
    </row>
    <row r="60" spans="1:9" ht="20" customHeight="1" x14ac:dyDescent="0.2">
      <c r="A60" s="10">
        <f t="shared" si="1"/>
        <v>59</v>
      </c>
      <c r="B60" s="10" t="s">
        <v>137</v>
      </c>
      <c r="C60" s="11" t="s">
        <v>138</v>
      </c>
      <c r="D60" s="12">
        <v>45901</v>
      </c>
      <c r="E60" s="12">
        <v>45931</v>
      </c>
      <c r="F60" s="21">
        <v>267.5</v>
      </c>
      <c r="G60" s="21">
        <v>651.1</v>
      </c>
      <c r="H60" s="10" t="s">
        <v>21</v>
      </c>
      <c r="I60" s="10">
        <v>157.19999999999999</v>
      </c>
    </row>
    <row r="61" spans="1:9" ht="20" customHeight="1" x14ac:dyDescent="0.2">
      <c r="A61" s="10">
        <f t="shared" si="1"/>
        <v>60</v>
      </c>
      <c r="B61" s="10" t="s">
        <v>139</v>
      </c>
      <c r="C61" s="11" t="s">
        <v>140</v>
      </c>
      <c r="D61" s="12">
        <v>45965</v>
      </c>
      <c r="E61" s="12">
        <v>45995</v>
      </c>
      <c r="F61" s="21">
        <v>349.4</v>
      </c>
      <c r="G61" s="21">
        <v>720</v>
      </c>
      <c r="H61" s="10" t="s">
        <v>21</v>
      </c>
      <c r="I61" s="10">
        <v>121.52</v>
      </c>
    </row>
    <row r="62" spans="1:9" ht="20" customHeight="1" x14ac:dyDescent="0.2">
      <c r="A62" s="10">
        <f t="shared" si="1"/>
        <v>61</v>
      </c>
      <c r="B62" s="10" t="s">
        <v>141</v>
      </c>
      <c r="C62" s="11" t="s">
        <v>142</v>
      </c>
      <c r="D62" s="12">
        <v>45967</v>
      </c>
      <c r="E62" s="12">
        <v>45997</v>
      </c>
      <c r="F62" s="21">
        <v>442.4</v>
      </c>
      <c r="G62" s="21">
        <v>590</v>
      </c>
      <c r="H62" s="10" t="s">
        <v>21</v>
      </c>
      <c r="I62" s="10">
        <v>40.659999999999997</v>
      </c>
    </row>
    <row r="63" spans="1:9" ht="20" customHeight="1" x14ac:dyDescent="0.2">
      <c r="A63" s="10">
        <f t="shared" si="1"/>
        <v>62</v>
      </c>
      <c r="B63" s="10" t="s">
        <v>143</v>
      </c>
      <c r="C63" s="11" t="s">
        <v>144</v>
      </c>
      <c r="D63" s="12">
        <v>45970</v>
      </c>
      <c r="E63" s="12">
        <v>46000</v>
      </c>
      <c r="F63" s="21">
        <v>351.4</v>
      </c>
      <c r="G63" s="21">
        <v>1801</v>
      </c>
      <c r="H63" s="10" t="s">
        <v>21</v>
      </c>
      <c r="I63" s="10">
        <v>412.52</v>
      </c>
    </row>
    <row r="64" spans="1:9" ht="20" customHeight="1" x14ac:dyDescent="0.2">
      <c r="A64" s="10">
        <f t="shared" si="1"/>
        <v>63</v>
      </c>
      <c r="B64" s="10" t="s">
        <v>145</v>
      </c>
      <c r="C64" s="11" t="s">
        <v>146</v>
      </c>
      <c r="D64" s="12">
        <v>45971</v>
      </c>
      <c r="E64" s="12">
        <v>46001</v>
      </c>
      <c r="F64" s="21">
        <v>332.6</v>
      </c>
      <c r="G64" s="21">
        <v>616</v>
      </c>
      <c r="H64" s="10" t="s">
        <v>21</v>
      </c>
      <c r="I64" s="10">
        <v>85.21</v>
      </c>
    </row>
    <row r="65" spans="1:9" ht="20" customHeight="1" x14ac:dyDescent="0.2">
      <c r="A65" s="10">
        <f t="shared" si="1"/>
        <v>64</v>
      </c>
      <c r="B65" s="10" t="s">
        <v>147</v>
      </c>
      <c r="C65" s="11" t="s">
        <v>148</v>
      </c>
      <c r="D65" s="12">
        <v>45972</v>
      </c>
      <c r="E65" s="12">
        <v>46002</v>
      </c>
      <c r="F65" s="21">
        <v>313.5</v>
      </c>
      <c r="G65" s="21">
        <v>765.5</v>
      </c>
      <c r="H65" s="10" t="s">
        <v>21</v>
      </c>
      <c r="I65" s="10">
        <v>144.18</v>
      </c>
    </row>
    <row r="66" spans="1:9" ht="20" customHeight="1" x14ac:dyDescent="0.2">
      <c r="A66" s="10">
        <f t="shared" ref="A66:A71" si="2">ROW()-1</f>
        <v>65</v>
      </c>
      <c r="B66" s="10" t="s">
        <v>149</v>
      </c>
      <c r="C66" s="11" t="s">
        <v>150</v>
      </c>
      <c r="D66" s="12">
        <v>45972</v>
      </c>
      <c r="E66" s="12">
        <v>46002</v>
      </c>
      <c r="F66" s="21">
        <v>407.4</v>
      </c>
      <c r="G66" s="21">
        <v>1923.2</v>
      </c>
      <c r="H66" s="10" t="s">
        <v>21</v>
      </c>
      <c r="I66" s="10">
        <v>372.07</v>
      </c>
    </row>
    <row r="67" spans="1:9" ht="20" customHeight="1" x14ac:dyDescent="0.2">
      <c r="A67" s="10">
        <f t="shared" si="2"/>
        <v>66</v>
      </c>
      <c r="B67" s="10" t="s">
        <v>151</v>
      </c>
      <c r="C67" s="11" t="s">
        <v>152</v>
      </c>
      <c r="D67" s="12">
        <v>45977</v>
      </c>
      <c r="E67" s="12">
        <v>46007</v>
      </c>
      <c r="F67" s="21">
        <v>311.2</v>
      </c>
      <c r="G67" s="21">
        <v>1260</v>
      </c>
      <c r="H67" s="10" t="s">
        <v>21</v>
      </c>
      <c r="I67" s="10">
        <v>304.88</v>
      </c>
    </row>
    <row r="68" spans="1:9" ht="20" customHeight="1" x14ac:dyDescent="0.2">
      <c r="A68" s="10">
        <f t="shared" si="2"/>
        <v>67</v>
      </c>
      <c r="B68" s="10" t="s">
        <v>153</v>
      </c>
      <c r="C68" s="11" t="s">
        <v>154</v>
      </c>
      <c r="D68" s="12">
        <v>45985</v>
      </c>
      <c r="E68" s="12">
        <v>46015</v>
      </c>
      <c r="F68" s="21">
        <v>331.8</v>
      </c>
      <c r="G68" s="21">
        <v>773.6</v>
      </c>
      <c r="H68" s="10" t="s">
        <v>21</v>
      </c>
      <c r="I68" s="10">
        <v>133.15</v>
      </c>
    </row>
    <row r="69" spans="1:9" ht="20" customHeight="1" x14ac:dyDescent="0.2">
      <c r="A69" s="10">
        <f t="shared" si="2"/>
        <v>68</v>
      </c>
      <c r="B69" s="10" t="s">
        <v>155</v>
      </c>
      <c r="C69" s="11" t="s">
        <v>156</v>
      </c>
      <c r="D69" s="12">
        <v>46001</v>
      </c>
      <c r="E69" s="12">
        <v>46032</v>
      </c>
      <c r="F69" s="21">
        <v>351.7</v>
      </c>
      <c r="G69" s="21">
        <v>1383.8</v>
      </c>
      <c r="H69" s="10" t="s">
        <v>21</v>
      </c>
      <c r="I69" s="10">
        <v>257.69</v>
      </c>
    </row>
    <row r="70" spans="1:9" ht="20" customHeight="1" x14ac:dyDescent="0.2">
      <c r="A70" s="10">
        <f t="shared" si="2"/>
        <v>69</v>
      </c>
      <c r="B70" s="10" t="s">
        <v>157</v>
      </c>
      <c r="C70" s="10" t="s">
        <v>157</v>
      </c>
      <c r="D70" s="12">
        <v>46069</v>
      </c>
      <c r="E70" s="12">
        <v>46097</v>
      </c>
      <c r="F70" s="21">
        <v>330</v>
      </c>
      <c r="G70" s="21">
        <v>361.8</v>
      </c>
      <c r="H70" s="10" t="s">
        <v>21</v>
      </c>
      <c r="I70" s="10">
        <v>9.64</v>
      </c>
    </row>
    <row r="71" spans="1:9" x14ac:dyDescent="0.2">
      <c r="A71" s="10">
        <f t="shared" si="2"/>
        <v>70</v>
      </c>
      <c r="B71" s="10" t="s">
        <v>158</v>
      </c>
      <c r="C71" s="11" t="s">
        <v>159</v>
      </c>
      <c r="D71" s="12">
        <v>46069</v>
      </c>
      <c r="E71" s="12">
        <v>46097</v>
      </c>
      <c r="F71" s="21">
        <v>330</v>
      </c>
      <c r="G71" s="21">
        <v>1147.7</v>
      </c>
      <c r="H71" s="9" t="s">
        <v>21</v>
      </c>
      <c r="I71" s="9">
        <v>247.79</v>
      </c>
    </row>
    <row r="72" spans="1:9" x14ac:dyDescent="0.2">
      <c r="A72" s="1"/>
      <c r="B72" s="1"/>
      <c r="C72" s="1"/>
      <c r="D72" s="1"/>
      <c r="E72" s="1"/>
      <c r="F72" s="1"/>
      <c r="G72" s="1"/>
      <c r="H72" s="32" t="s">
        <v>160</v>
      </c>
      <c r="I72" s="32">
        <f>AVERAGE(I2:I71)</f>
        <v>109.87536231884056</v>
      </c>
    </row>
    <row r="73" spans="1:9" x14ac:dyDescent="0.2">
      <c r="H73" s="32" t="s">
        <v>161</v>
      </c>
      <c r="I73" s="32">
        <f>((1+I72/100)^(365/30)-1)*100</f>
        <v>826314.15992621006</v>
      </c>
    </row>
    <row r="74" spans="1:9" x14ac:dyDescent="0.2">
      <c r="H74" s="33" t="s">
        <v>166</v>
      </c>
      <c r="I74" s="35">
        <f>MEDIAN(I2:I71)</f>
        <v>29.47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4"/>
  <sheetViews>
    <sheetView topLeftCell="A57" zoomScale="140" zoomScaleNormal="140" workbookViewId="0">
      <selection sqref="A1:I1"/>
    </sheetView>
  </sheetViews>
  <sheetFormatPr baseColWidth="10" defaultRowHeight="16" x14ac:dyDescent="0.2"/>
  <cols>
    <col min="3" max="3" width="44.6640625" bestFit="1" customWidth="1"/>
    <col min="4" max="4" width="11.5" bestFit="1" customWidth="1"/>
    <col min="5" max="5" width="13.5" customWidth="1"/>
    <col min="6" max="6" width="13" customWidth="1"/>
    <col min="7" max="7" width="12" customWidth="1"/>
    <col min="8" max="8" width="12.5" bestFit="1" customWidth="1"/>
    <col min="9" max="9" width="12.83203125" bestFit="1" customWidth="1"/>
  </cols>
  <sheetData>
    <row r="1" spans="1:9" ht="3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168</v>
      </c>
      <c r="G1" s="1" t="s">
        <v>169</v>
      </c>
      <c r="H1" s="1" t="s">
        <v>1</v>
      </c>
      <c r="I1" s="5" t="s">
        <v>18</v>
      </c>
    </row>
    <row r="2" spans="1:9" ht="20" customHeight="1" x14ac:dyDescent="0.2">
      <c r="A2" s="10">
        <f t="shared" ref="A2:A33" si="0">ROW()-1</f>
        <v>1</v>
      </c>
      <c r="B2" s="10" t="s">
        <v>19</v>
      </c>
      <c r="C2" s="11" t="s">
        <v>20</v>
      </c>
      <c r="D2" s="12">
        <v>44850</v>
      </c>
      <c r="E2" s="12">
        <v>44895</v>
      </c>
      <c r="F2" s="21">
        <v>255.7</v>
      </c>
      <c r="G2" s="21">
        <v>208</v>
      </c>
      <c r="H2" s="10" t="s">
        <v>162</v>
      </c>
      <c r="I2" s="10">
        <v>-18.649999999999999</v>
      </c>
    </row>
    <row r="3" spans="1:9" ht="20" customHeight="1" x14ac:dyDescent="0.2">
      <c r="A3" s="10">
        <f t="shared" si="0"/>
        <v>2</v>
      </c>
      <c r="B3" s="10" t="s">
        <v>22</v>
      </c>
      <c r="C3" s="11" t="s">
        <v>23</v>
      </c>
      <c r="D3" s="12">
        <v>44851</v>
      </c>
      <c r="E3" s="12">
        <v>44896</v>
      </c>
      <c r="F3" s="21">
        <v>214.2</v>
      </c>
      <c r="G3" s="21">
        <v>355</v>
      </c>
      <c r="H3" s="10" t="s">
        <v>162</v>
      </c>
      <c r="I3" s="10">
        <v>65.73</v>
      </c>
    </row>
    <row r="4" spans="1:9" ht="20" customHeight="1" x14ac:dyDescent="0.2">
      <c r="A4" s="10">
        <f t="shared" si="0"/>
        <v>3</v>
      </c>
      <c r="B4" s="10" t="s">
        <v>24</v>
      </c>
      <c r="C4" s="11" t="s">
        <v>25</v>
      </c>
      <c r="D4" s="12">
        <v>44880</v>
      </c>
      <c r="E4" s="12">
        <v>44925</v>
      </c>
      <c r="F4" s="21">
        <v>321</v>
      </c>
      <c r="G4" s="21">
        <v>425</v>
      </c>
      <c r="H4" s="10" t="s">
        <v>162</v>
      </c>
      <c r="I4" s="10">
        <v>25.48</v>
      </c>
    </row>
    <row r="5" spans="1:9" ht="20" customHeight="1" x14ac:dyDescent="0.2">
      <c r="A5" s="10">
        <f t="shared" si="0"/>
        <v>4</v>
      </c>
      <c r="B5" s="10" t="s">
        <v>26</v>
      </c>
      <c r="C5" s="11" t="s">
        <v>27</v>
      </c>
      <c r="D5" s="12">
        <v>44909</v>
      </c>
      <c r="E5" s="12">
        <v>44954</v>
      </c>
      <c r="F5" s="21">
        <v>237.6</v>
      </c>
      <c r="G5" s="21">
        <v>451.5</v>
      </c>
      <c r="H5" s="10" t="s">
        <v>162</v>
      </c>
      <c r="I5" s="10">
        <v>72.77</v>
      </c>
    </row>
    <row r="6" spans="1:9" ht="20" customHeight="1" x14ac:dyDescent="0.2">
      <c r="A6" s="10">
        <f t="shared" si="0"/>
        <v>5</v>
      </c>
      <c r="B6" s="10" t="s">
        <v>28</v>
      </c>
      <c r="C6" s="11" t="s">
        <v>29</v>
      </c>
      <c r="D6" s="12">
        <v>44909</v>
      </c>
      <c r="E6" s="12">
        <v>44954</v>
      </c>
      <c r="F6" s="21">
        <v>270</v>
      </c>
      <c r="G6" s="21">
        <v>361.8</v>
      </c>
      <c r="H6" s="10" t="s">
        <v>162</v>
      </c>
      <c r="I6" s="10">
        <v>37.04</v>
      </c>
    </row>
    <row r="7" spans="1:9" ht="20" customHeight="1" x14ac:dyDescent="0.2">
      <c r="A7" s="10">
        <f t="shared" si="0"/>
        <v>6</v>
      </c>
      <c r="B7" s="10" t="s">
        <v>30</v>
      </c>
      <c r="C7" s="11" t="s">
        <v>31</v>
      </c>
      <c r="D7" s="12">
        <v>44915</v>
      </c>
      <c r="E7" s="12">
        <v>44960</v>
      </c>
      <c r="F7" s="21">
        <v>996.6</v>
      </c>
      <c r="G7" s="21">
        <v>2221</v>
      </c>
      <c r="H7" s="10" t="s">
        <v>162</v>
      </c>
      <c r="I7" s="10">
        <v>122.96</v>
      </c>
    </row>
    <row r="8" spans="1:9" ht="20" customHeight="1" x14ac:dyDescent="0.2">
      <c r="A8" s="10">
        <f t="shared" si="0"/>
        <v>7</v>
      </c>
      <c r="B8" s="10" t="s">
        <v>32</v>
      </c>
      <c r="C8" s="11" t="s">
        <v>33</v>
      </c>
      <c r="D8" s="12">
        <v>44930</v>
      </c>
      <c r="E8" s="12">
        <v>44975</v>
      </c>
      <c r="F8" s="21">
        <v>213.7</v>
      </c>
      <c r="G8" s="21">
        <v>610</v>
      </c>
      <c r="H8" s="10" t="s">
        <v>162</v>
      </c>
      <c r="I8" s="10">
        <v>199.49</v>
      </c>
    </row>
    <row r="9" spans="1:9" ht="20" customHeight="1" x14ac:dyDescent="0.2">
      <c r="A9" s="10">
        <f t="shared" si="0"/>
        <v>8</v>
      </c>
      <c r="B9" s="10" t="s">
        <v>34</v>
      </c>
      <c r="C9" s="11" t="s">
        <v>35</v>
      </c>
      <c r="D9" s="12">
        <v>44990</v>
      </c>
      <c r="E9" s="12">
        <v>45035</v>
      </c>
      <c r="F9" s="21">
        <v>328.9</v>
      </c>
      <c r="G9" s="21">
        <v>399.9</v>
      </c>
      <c r="H9" s="10" t="s">
        <v>162</v>
      </c>
      <c r="I9" s="10">
        <v>21.59</v>
      </c>
    </row>
    <row r="10" spans="1:9" ht="20" customHeight="1" x14ac:dyDescent="0.2">
      <c r="A10" s="10">
        <f t="shared" si="0"/>
        <v>9</v>
      </c>
      <c r="B10" s="10" t="s">
        <v>36</v>
      </c>
      <c r="C10" s="11" t="s">
        <v>37</v>
      </c>
      <c r="D10" s="12">
        <v>44992</v>
      </c>
      <c r="E10" s="12">
        <v>45037</v>
      </c>
      <c r="F10" s="21">
        <v>291.5</v>
      </c>
      <c r="G10" s="21">
        <v>550</v>
      </c>
      <c r="H10" s="10" t="s">
        <v>162</v>
      </c>
      <c r="I10" s="10">
        <v>88.61</v>
      </c>
    </row>
    <row r="11" spans="1:9" ht="20" customHeight="1" x14ac:dyDescent="0.2">
      <c r="A11" s="10">
        <f t="shared" si="0"/>
        <v>10</v>
      </c>
      <c r="B11" s="10" t="s">
        <v>38</v>
      </c>
      <c r="C11" s="11" t="s">
        <v>39</v>
      </c>
      <c r="D11" s="12">
        <v>45007</v>
      </c>
      <c r="E11" s="12">
        <v>45052</v>
      </c>
      <c r="F11" s="21">
        <v>292</v>
      </c>
      <c r="G11" s="21">
        <v>256</v>
      </c>
      <c r="H11" s="10" t="s">
        <v>162</v>
      </c>
      <c r="I11" s="10">
        <v>-8.2200000000000006</v>
      </c>
    </row>
    <row r="12" spans="1:9" ht="20" customHeight="1" x14ac:dyDescent="0.2">
      <c r="A12" s="10">
        <f t="shared" si="0"/>
        <v>11</v>
      </c>
      <c r="B12" s="10" t="s">
        <v>40</v>
      </c>
      <c r="C12" s="11" t="s">
        <v>41</v>
      </c>
      <c r="D12" s="12">
        <v>45008</v>
      </c>
      <c r="E12" s="12">
        <v>45053</v>
      </c>
      <c r="F12" s="21">
        <v>328.6</v>
      </c>
      <c r="G12" s="21">
        <v>347.8</v>
      </c>
      <c r="H12" s="10" t="s">
        <v>162</v>
      </c>
      <c r="I12" s="10">
        <v>5.84</v>
      </c>
    </row>
    <row r="13" spans="1:9" ht="20" customHeight="1" x14ac:dyDescent="0.2">
      <c r="A13" s="10">
        <f t="shared" si="0"/>
        <v>12</v>
      </c>
      <c r="B13" s="10" t="s">
        <v>42</v>
      </c>
      <c r="C13" s="11" t="s">
        <v>43</v>
      </c>
      <c r="D13" s="12">
        <v>45008</v>
      </c>
      <c r="E13" s="12">
        <v>45053</v>
      </c>
      <c r="F13" s="21">
        <v>139.69999999999999</v>
      </c>
      <c r="G13" s="21">
        <v>713</v>
      </c>
      <c r="H13" s="10" t="s">
        <v>162</v>
      </c>
      <c r="I13" s="10">
        <v>410.38</v>
      </c>
    </row>
    <row r="14" spans="1:9" ht="20" customHeight="1" x14ac:dyDescent="0.2">
      <c r="A14" s="10">
        <f t="shared" si="0"/>
        <v>13</v>
      </c>
      <c r="B14" s="10" t="s">
        <v>44</v>
      </c>
      <c r="C14" s="11" t="s">
        <v>45</v>
      </c>
      <c r="D14" s="12">
        <v>45012</v>
      </c>
      <c r="E14" s="12">
        <v>45057</v>
      </c>
      <c r="F14" s="21">
        <v>430.1</v>
      </c>
      <c r="G14" s="21">
        <v>554</v>
      </c>
      <c r="H14" s="10" t="s">
        <v>162</v>
      </c>
      <c r="I14" s="10">
        <v>28.81</v>
      </c>
    </row>
    <row r="15" spans="1:9" ht="20" customHeight="1" x14ac:dyDescent="0.2">
      <c r="A15" s="10">
        <f t="shared" si="0"/>
        <v>14</v>
      </c>
      <c r="B15" s="10" t="s">
        <v>46</v>
      </c>
      <c r="C15" s="11" t="s">
        <v>47</v>
      </c>
      <c r="D15" s="12">
        <v>45026</v>
      </c>
      <c r="E15" s="12">
        <v>45071</v>
      </c>
      <c r="F15" s="21">
        <v>324.5</v>
      </c>
      <c r="G15" s="21">
        <v>272.7</v>
      </c>
      <c r="H15" s="10" t="s">
        <v>162</v>
      </c>
      <c r="I15" s="10">
        <v>-16.149999999999999</v>
      </c>
    </row>
    <row r="16" spans="1:9" ht="20" customHeight="1" x14ac:dyDescent="0.2">
      <c r="A16" s="10">
        <f t="shared" si="0"/>
        <v>15</v>
      </c>
      <c r="B16" s="10" t="s">
        <v>48</v>
      </c>
      <c r="C16" s="11" t="s">
        <v>49</v>
      </c>
      <c r="D16" s="12">
        <v>45029</v>
      </c>
      <c r="E16" s="12">
        <v>45074</v>
      </c>
      <c r="F16" s="21">
        <v>155.1</v>
      </c>
      <c r="G16" s="21">
        <v>225.4</v>
      </c>
      <c r="H16" s="10" t="s">
        <v>162</v>
      </c>
      <c r="I16" s="10">
        <v>45.33</v>
      </c>
    </row>
    <row r="17" spans="1:9" ht="20" customHeight="1" x14ac:dyDescent="0.2">
      <c r="A17" s="10">
        <f t="shared" si="0"/>
        <v>16</v>
      </c>
      <c r="B17" s="10" t="s">
        <v>50</v>
      </c>
      <c r="C17" s="11" t="s">
        <v>51</v>
      </c>
      <c r="D17" s="12">
        <v>45029</v>
      </c>
      <c r="E17" s="12">
        <v>45074</v>
      </c>
      <c r="F17" s="21">
        <v>340</v>
      </c>
      <c r="G17" s="21">
        <v>264.2</v>
      </c>
      <c r="H17" s="10" t="s">
        <v>162</v>
      </c>
      <c r="I17" s="10">
        <v>-22.29</v>
      </c>
    </row>
    <row r="18" spans="1:9" ht="20" customHeight="1" x14ac:dyDescent="0.2">
      <c r="A18" s="10">
        <f t="shared" si="0"/>
        <v>17</v>
      </c>
      <c r="B18" s="10" t="s">
        <v>52</v>
      </c>
      <c r="C18" s="11" t="s">
        <v>53</v>
      </c>
      <c r="D18" s="12">
        <v>45048</v>
      </c>
      <c r="E18" s="12">
        <v>45093</v>
      </c>
      <c r="F18" s="21">
        <v>436.9</v>
      </c>
      <c r="G18" s="21">
        <v>2343</v>
      </c>
      <c r="H18" s="10" t="s">
        <v>162</v>
      </c>
      <c r="I18" s="10">
        <v>387.53</v>
      </c>
    </row>
    <row r="19" spans="1:9" ht="20" customHeight="1" x14ac:dyDescent="0.2">
      <c r="A19" s="10">
        <f t="shared" si="0"/>
        <v>18</v>
      </c>
      <c r="B19" s="10" t="s">
        <v>54</v>
      </c>
      <c r="C19" s="11" t="s">
        <v>55</v>
      </c>
      <c r="D19" s="12">
        <v>45053</v>
      </c>
      <c r="E19" s="12">
        <v>45098</v>
      </c>
      <c r="F19" s="21">
        <v>255</v>
      </c>
      <c r="G19" s="21">
        <v>320</v>
      </c>
      <c r="H19" s="10" t="s">
        <v>162</v>
      </c>
      <c r="I19" s="10">
        <v>25.49</v>
      </c>
    </row>
    <row r="20" spans="1:9" ht="20" customHeight="1" x14ac:dyDescent="0.2">
      <c r="A20" s="10">
        <f t="shared" si="0"/>
        <v>19</v>
      </c>
      <c r="B20" s="10" t="s">
        <v>56</v>
      </c>
      <c r="C20" s="11" t="s">
        <v>57</v>
      </c>
      <c r="D20" s="12">
        <v>45062</v>
      </c>
      <c r="E20" s="12">
        <v>45107</v>
      </c>
      <c r="F20" s="21">
        <v>301.5</v>
      </c>
      <c r="G20" s="21">
        <v>305</v>
      </c>
      <c r="H20" s="10" t="s">
        <v>162</v>
      </c>
      <c r="I20" s="10">
        <v>3.55</v>
      </c>
    </row>
    <row r="21" spans="1:9" ht="20" customHeight="1" x14ac:dyDescent="0.2">
      <c r="A21" s="10">
        <f t="shared" si="0"/>
        <v>20</v>
      </c>
      <c r="B21" s="10" t="s">
        <v>58</v>
      </c>
      <c r="C21" s="11" t="s">
        <v>59</v>
      </c>
      <c r="D21" s="12">
        <v>45085</v>
      </c>
      <c r="E21" s="12">
        <v>45130</v>
      </c>
      <c r="F21" s="21">
        <v>223</v>
      </c>
      <c r="G21" s="21">
        <v>235</v>
      </c>
      <c r="H21" s="10" t="s">
        <v>162</v>
      </c>
      <c r="I21" s="10">
        <v>5.38</v>
      </c>
    </row>
    <row r="22" spans="1:9" ht="20" customHeight="1" x14ac:dyDescent="0.2">
      <c r="A22" s="10">
        <f t="shared" si="0"/>
        <v>21</v>
      </c>
      <c r="B22" s="10" t="s">
        <v>60</v>
      </c>
      <c r="C22" s="11" t="s">
        <v>61</v>
      </c>
      <c r="D22" s="12">
        <v>45085</v>
      </c>
      <c r="E22" s="12">
        <v>45130</v>
      </c>
      <c r="F22" s="21">
        <v>287.10000000000002</v>
      </c>
      <c r="G22" s="21">
        <v>249</v>
      </c>
      <c r="H22" s="10" t="s">
        <v>162</v>
      </c>
      <c r="I22" s="10">
        <v>-13.27</v>
      </c>
    </row>
    <row r="23" spans="1:9" ht="20" customHeight="1" x14ac:dyDescent="0.2">
      <c r="A23" s="10">
        <f t="shared" si="0"/>
        <v>22</v>
      </c>
      <c r="B23" s="10" t="s">
        <v>62</v>
      </c>
      <c r="C23" s="11" t="s">
        <v>63</v>
      </c>
      <c r="D23" s="12">
        <v>45088</v>
      </c>
      <c r="E23" s="12">
        <v>45133</v>
      </c>
      <c r="F23" s="21">
        <v>122.2</v>
      </c>
      <c r="G23" s="21">
        <v>758</v>
      </c>
      <c r="H23" s="10" t="s">
        <v>162</v>
      </c>
      <c r="I23" s="10">
        <v>520.29</v>
      </c>
    </row>
    <row r="24" spans="1:9" ht="20" customHeight="1" x14ac:dyDescent="0.2">
      <c r="A24" s="10">
        <f t="shared" si="0"/>
        <v>23</v>
      </c>
      <c r="B24" s="10" t="s">
        <v>64</v>
      </c>
      <c r="C24" s="11" t="s">
        <v>65</v>
      </c>
      <c r="D24" s="12">
        <v>45095</v>
      </c>
      <c r="E24" s="12">
        <v>45140</v>
      </c>
      <c r="F24" s="21">
        <v>255.2</v>
      </c>
      <c r="G24" s="21">
        <v>224.9</v>
      </c>
      <c r="H24" s="10" t="s">
        <v>162</v>
      </c>
      <c r="I24" s="10">
        <v>-11.87</v>
      </c>
    </row>
    <row r="25" spans="1:9" ht="20" customHeight="1" x14ac:dyDescent="0.2">
      <c r="A25" s="10">
        <f t="shared" si="0"/>
        <v>24</v>
      </c>
      <c r="B25" s="10" t="s">
        <v>66</v>
      </c>
      <c r="C25" s="11" t="s">
        <v>67</v>
      </c>
      <c r="D25" s="12">
        <v>45097</v>
      </c>
      <c r="E25" s="12">
        <v>45142</v>
      </c>
      <c r="F25" s="21">
        <v>320.89999999999998</v>
      </c>
      <c r="G25" s="21">
        <v>238.1</v>
      </c>
      <c r="H25" s="10" t="s">
        <v>162</v>
      </c>
      <c r="I25" s="10">
        <v>-23.09</v>
      </c>
    </row>
    <row r="26" spans="1:9" ht="20" customHeight="1" x14ac:dyDescent="0.2">
      <c r="A26" s="10">
        <f t="shared" si="0"/>
        <v>25</v>
      </c>
      <c r="B26" s="10" t="s">
        <v>68</v>
      </c>
      <c r="C26" s="11" t="s">
        <v>69</v>
      </c>
      <c r="D26" s="12">
        <v>45112</v>
      </c>
      <c r="E26" s="12">
        <v>45157</v>
      </c>
      <c r="F26" s="21">
        <v>243</v>
      </c>
      <c r="G26" s="21">
        <v>173.6</v>
      </c>
      <c r="H26" s="10" t="s">
        <v>162</v>
      </c>
      <c r="I26" s="10">
        <v>-25.93</v>
      </c>
    </row>
    <row r="27" spans="1:9" ht="20" customHeight="1" x14ac:dyDescent="0.2">
      <c r="A27" s="10">
        <f t="shared" si="0"/>
        <v>26</v>
      </c>
      <c r="B27" s="10" t="s">
        <v>70</v>
      </c>
      <c r="C27" s="11" t="s">
        <v>71</v>
      </c>
      <c r="D27" s="12">
        <v>45112</v>
      </c>
      <c r="E27" s="12">
        <v>45157</v>
      </c>
      <c r="F27" s="21">
        <v>274.2</v>
      </c>
      <c r="G27" s="21">
        <v>327.10000000000002</v>
      </c>
      <c r="H27" s="10" t="s">
        <v>162</v>
      </c>
      <c r="I27" s="10">
        <v>25.46</v>
      </c>
    </row>
    <row r="28" spans="1:9" ht="20" customHeight="1" x14ac:dyDescent="0.2">
      <c r="A28" s="10">
        <f t="shared" si="0"/>
        <v>27</v>
      </c>
      <c r="B28" s="10" t="s">
        <v>72</v>
      </c>
      <c r="C28" s="11" t="s">
        <v>73</v>
      </c>
      <c r="D28" s="12">
        <v>45144</v>
      </c>
      <c r="E28" s="12">
        <v>45189</v>
      </c>
      <c r="F28" s="21">
        <v>582.4</v>
      </c>
      <c r="G28" s="21">
        <v>543.20000000000005</v>
      </c>
      <c r="H28" s="10" t="s">
        <v>162</v>
      </c>
      <c r="I28" s="10">
        <v>-7.8</v>
      </c>
    </row>
    <row r="29" spans="1:9" ht="20" customHeight="1" x14ac:dyDescent="0.2">
      <c r="A29" s="10">
        <f t="shared" si="0"/>
        <v>28</v>
      </c>
      <c r="B29" s="10" t="s">
        <v>74</v>
      </c>
      <c r="C29" s="11" t="s">
        <v>75</v>
      </c>
      <c r="D29" s="12">
        <v>45144</v>
      </c>
      <c r="E29" s="12">
        <v>45189</v>
      </c>
      <c r="F29" s="21">
        <v>275.39999999999998</v>
      </c>
      <c r="G29" s="21">
        <v>249</v>
      </c>
      <c r="H29" s="10" t="s">
        <v>162</v>
      </c>
      <c r="I29" s="10">
        <v>-13.8</v>
      </c>
    </row>
    <row r="30" spans="1:9" ht="20" customHeight="1" x14ac:dyDescent="0.2">
      <c r="A30" s="10">
        <f t="shared" si="0"/>
        <v>29</v>
      </c>
      <c r="B30" s="10" t="s">
        <v>76</v>
      </c>
      <c r="C30" s="11" t="s">
        <v>77</v>
      </c>
      <c r="D30" s="12">
        <v>45151</v>
      </c>
      <c r="E30" s="12">
        <v>45196</v>
      </c>
      <c r="F30" s="21">
        <v>509</v>
      </c>
      <c r="G30" s="21">
        <v>475.1</v>
      </c>
      <c r="H30" s="10" t="s">
        <v>162</v>
      </c>
      <c r="I30" s="10">
        <v>-6.66</v>
      </c>
    </row>
    <row r="31" spans="1:9" ht="20" customHeight="1" x14ac:dyDescent="0.2">
      <c r="A31" s="10">
        <f t="shared" si="0"/>
        <v>30</v>
      </c>
      <c r="B31" s="10" t="s">
        <v>78</v>
      </c>
      <c r="C31" s="11" t="s">
        <v>79</v>
      </c>
      <c r="D31" s="12">
        <v>45151</v>
      </c>
      <c r="E31" s="12">
        <v>45196</v>
      </c>
      <c r="F31" s="21">
        <v>280.5</v>
      </c>
      <c r="G31" s="21">
        <v>402.1</v>
      </c>
      <c r="H31" s="10" t="s">
        <v>162</v>
      </c>
      <c r="I31" s="10">
        <v>43.35</v>
      </c>
    </row>
    <row r="32" spans="1:9" ht="20" customHeight="1" x14ac:dyDescent="0.2">
      <c r="A32" s="10">
        <f t="shared" si="0"/>
        <v>31</v>
      </c>
      <c r="B32" s="10" t="s">
        <v>80</v>
      </c>
      <c r="C32" s="11" t="s">
        <v>81</v>
      </c>
      <c r="D32" s="12">
        <v>45151</v>
      </c>
      <c r="E32" s="12">
        <v>45196</v>
      </c>
      <c r="F32" s="21">
        <v>278.89999999999998</v>
      </c>
      <c r="G32" s="21">
        <v>353.9</v>
      </c>
      <c r="H32" s="10" t="s">
        <v>162</v>
      </c>
      <c r="I32" s="10">
        <v>26.89</v>
      </c>
    </row>
    <row r="33" spans="1:9" ht="20" customHeight="1" x14ac:dyDescent="0.2">
      <c r="A33" s="10">
        <f t="shared" si="0"/>
        <v>32</v>
      </c>
      <c r="B33" s="10" t="s">
        <v>82</v>
      </c>
      <c r="C33" s="11" t="s">
        <v>83</v>
      </c>
      <c r="D33" s="12">
        <v>45159</v>
      </c>
      <c r="E33" s="12">
        <v>45204</v>
      </c>
      <c r="F33" s="21">
        <v>526.9</v>
      </c>
      <c r="G33" s="21">
        <v>807</v>
      </c>
      <c r="H33" s="10" t="s">
        <v>162</v>
      </c>
      <c r="I33" s="10">
        <v>53.16</v>
      </c>
    </row>
    <row r="34" spans="1:9" ht="20" customHeight="1" x14ac:dyDescent="0.2">
      <c r="A34" s="10">
        <f t="shared" ref="A34:A65" si="1">ROW()-1</f>
        <v>33</v>
      </c>
      <c r="B34" s="10" t="s">
        <v>84</v>
      </c>
      <c r="C34" s="11" t="s">
        <v>85</v>
      </c>
      <c r="D34" s="12">
        <v>45186</v>
      </c>
      <c r="E34" s="12">
        <v>45231</v>
      </c>
      <c r="F34" s="21">
        <v>495</v>
      </c>
      <c r="G34" s="21">
        <v>400</v>
      </c>
      <c r="H34" s="10" t="s">
        <v>162</v>
      </c>
      <c r="I34" s="10">
        <v>-19.190000000000001</v>
      </c>
    </row>
    <row r="35" spans="1:9" ht="20" customHeight="1" x14ac:dyDescent="0.2">
      <c r="A35" s="10">
        <f t="shared" si="1"/>
        <v>34</v>
      </c>
      <c r="B35" s="10" t="s">
        <v>86</v>
      </c>
      <c r="C35" s="11" t="s">
        <v>87</v>
      </c>
      <c r="D35" s="12">
        <v>45190</v>
      </c>
      <c r="E35" s="12">
        <v>45235</v>
      </c>
      <c r="F35" s="21">
        <v>470</v>
      </c>
      <c r="G35" s="21">
        <v>401.1</v>
      </c>
      <c r="H35" s="10" t="s">
        <v>162</v>
      </c>
      <c r="I35" s="10">
        <v>-14.66</v>
      </c>
    </row>
    <row r="36" spans="1:9" ht="20" customHeight="1" x14ac:dyDescent="0.2">
      <c r="A36" s="10">
        <f t="shared" si="1"/>
        <v>35</v>
      </c>
      <c r="B36" s="10" t="s">
        <v>88</v>
      </c>
      <c r="C36" s="11" t="s">
        <v>89</v>
      </c>
      <c r="D36" s="12">
        <v>45194</v>
      </c>
      <c r="E36" s="12">
        <v>45239</v>
      </c>
      <c r="F36" s="21">
        <v>225</v>
      </c>
      <c r="G36" s="21">
        <v>190</v>
      </c>
      <c r="H36" s="10" t="s">
        <v>162</v>
      </c>
      <c r="I36" s="10">
        <v>-15.56</v>
      </c>
    </row>
    <row r="37" spans="1:9" ht="20" customHeight="1" x14ac:dyDescent="0.2">
      <c r="A37" s="10">
        <f t="shared" si="1"/>
        <v>36</v>
      </c>
      <c r="B37" s="10" t="s">
        <v>90</v>
      </c>
      <c r="C37" s="11" t="s">
        <v>91</v>
      </c>
      <c r="D37" s="12">
        <v>45194</v>
      </c>
      <c r="E37" s="12">
        <v>45239</v>
      </c>
      <c r="F37" s="21">
        <v>264</v>
      </c>
      <c r="G37" s="21">
        <v>240</v>
      </c>
      <c r="H37" s="10" t="s">
        <v>162</v>
      </c>
      <c r="I37" s="10">
        <v>-9.09</v>
      </c>
    </row>
    <row r="38" spans="1:9" ht="20" customHeight="1" x14ac:dyDescent="0.2">
      <c r="A38" s="10">
        <f t="shared" si="1"/>
        <v>37</v>
      </c>
      <c r="B38" s="10" t="s">
        <v>92</v>
      </c>
      <c r="C38" s="11" t="s">
        <v>93</v>
      </c>
      <c r="D38" s="12">
        <v>45200</v>
      </c>
      <c r="E38" s="12">
        <v>45245</v>
      </c>
      <c r="F38" s="21">
        <v>457.2</v>
      </c>
      <c r="G38" s="21">
        <v>406.4</v>
      </c>
      <c r="H38" s="10" t="s">
        <v>162</v>
      </c>
      <c r="I38" s="10">
        <v>-11.29</v>
      </c>
    </row>
    <row r="39" spans="1:9" ht="20" customHeight="1" x14ac:dyDescent="0.2">
      <c r="A39" s="10">
        <f t="shared" si="1"/>
        <v>38</v>
      </c>
      <c r="B39" s="10" t="s">
        <v>94</v>
      </c>
      <c r="C39" s="11" t="s">
        <v>95</v>
      </c>
      <c r="D39" s="12">
        <v>45210</v>
      </c>
      <c r="E39" s="12">
        <v>45255</v>
      </c>
      <c r="F39" s="21">
        <v>410.5</v>
      </c>
      <c r="G39" s="21">
        <v>531</v>
      </c>
      <c r="H39" s="10" t="s">
        <v>162</v>
      </c>
      <c r="I39" s="10">
        <v>27.89</v>
      </c>
    </row>
    <row r="40" spans="1:9" ht="20" customHeight="1" x14ac:dyDescent="0.2">
      <c r="A40" s="10">
        <f t="shared" si="1"/>
        <v>39</v>
      </c>
      <c r="B40" s="10" t="s">
        <v>96</v>
      </c>
      <c r="C40" s="11" t="s">
        <v>97</v>
      </c>
      <c r="D40" s="12">
        <v>45210</v>
      </c>
      <c r="E40" s="12">
        <v>45255</v>
      </c>
      <c r="F40" s="21">
        <v>313.7</v>
      </c>
      <c r="G40" s="21">
        <v>411</v>
      </c>
      <c r="H40" s="10" t="s">
        <v>162</v>
      </c>
      <c r="I40" s="10">
        <v>33.25</v>
      </c>
    </row>
    <row r="41" spans="1:9" ht="20" customHeight="1" x14ac:dyDescent="0.2">
      <c r="A41" s="10">
        <f t="shared" si="1"/>
        <v>40</v>
      </c>
      <c r="B41" s="10" t="s">
        <v>98</v>
      </c>
      <c r="C41" s="11" t="s">
        <v>99</v>
      </c>
      <c r="D41" s="12">
        <v>45211</v>
      </c>
      <c r="E41" s="12">
        <v>45256</v>
      </c>
      <c r="F41" s="21">
        <v>397.2</v>
      </c>
      <c r="G41" s="21">
        <v>437.8</v>
      </c>
      <c r="H41" s="10" t="s">
        <v>162</v>
      </c>
      <c r="I41" s="10">
        <v>10.220000000000001</v>
      </c>
    </row>
    <row r="42" spans="1:9" ht="20" customHeight="1" x14ac:dyDescent="0.2">
      <c r="A42" s="10">
        <f t="shared" si="1"/>
        <v>41</v>
      </c>
      <c r="B42" s="10" t="s">
        <v>100</v>
      </c>
      <c r="C42" s="11" t="s">
        <v>101</v>
      </c>
      <c r="D42" s="12">
        <v>45211</v>
      </c>
      <c r="E42" s="12">
        <v>45256</v>
      </c>
      <c r="F42" s="21">
        <v>330</v>
      </c>
      <c r="G42" s="21">
        <v>375</v>
      </c>
      <c r="H42" s="10" t="s">
        <v>162</v>
      </c>
      <c r="I42" s="10">
        <v>13.64</v>
      </c>
    </row>
    <row r="43" spans="1:9" ht="20" customHeight="1" x14ac:dyDescent="0.2">
      <c r="A43" s="10">
        <f t="shared" si="1"/>
        <v>42</v>
      </c>
      <c r="B43" s="10" t="s">
        <v>102</v>
      </c>
      <c r="C43" s="11" t="s">
        <v>103</v>
      </c>
      <c r="D43" s="12">
        <v>45228</v>
      </c>
      <c r="E43" s="12">
        <v>45273</v>
      </c>
      <c r="F43" s="21">
        <v>315</v>
      </c>
      <c r="G43" s="21">
        <v>359</v>
      </c>
      <c r="H43" s="10" t="s">
        <v>162</v>
      </c>
      <c r="I43" s="10">
        <v>13.97</v>
      </c>
    </row>
    <row r="44" spans="1:9" ht="20" customHeight="1" x14ac:dyDescent="0.2">
      <c r="A44" s="10">
        <f t="shared" si="1"/>
        <v>43</v>
      </c>
      <c r="B44" s="10" t="s">
        <v>104</v>
      </c>
      <c r="C44" s="11" t="s">
        <v>105</v>
      </c>
      <c r="D44" s="12">
        <v>45250</v>
      </c>
      <c r="E44" s="12">
        <v>45295</v>
      </c>
      <c r="F44" s="21">
        <v>259.60000000000002</v>
      </c>
      <c r="G44" s="21">
        <v>350</v>
      </c>
      <c r="H44" s="10" t="s">
        <v>162</v>
      </c>
      <c r="I44" s="10">
        <v>34.82</v>
      </c>
    </row>
    <row r="45" spans="1:9" ht="20" customHeight="1" x14ac:dyDescent="0.2">
      <c r="A45" s="10">
        <f t="shared" si="1"/>
        <v>44</v>
      </c>
      <c r="B45" s="10" t="s">
        <v>106</v>
      </c>
      <c r="C45" s="11" t="s">
        <v>107</v>
      </c>
      <c r="D45" s="12">
        <v>45267</v>
      </c>
      <c r="E45" s="12">
        <v>45312</v>
      </c>
      <c r="F45" s="21">
        <v>294.8</v>
      </c>
      <c r="G45" s="21">
        <v>580</v>
      </c>
      <c r="H45" s="10" t="s">
        <v>162</v>
      </c>
      <c r="I45" s="10">
        <v>96.74</v>
      </c>
    </row>
    <row r="46" spans="1:9" ht="20" customHeight="1" x14ac:dyDescent="0.2">
      <c r="A46" s="10">
        <f t="shared" si="1"/>
        <v>45</v>
      </c>
      <c r="B46" s="10" t="s">
        <v>108</v>
      </c>
      <c r="C46" s="11" t="s">
        <v>109</v>
      </c>
      <c r="D46" s="12">
        <v>45274</v>
      </c>
      <c r="E46" s="12">
        <v>45319</v>
      </c>
      <c r="F46" s="21">
        <v>196.6</v>
      </c>
      <c r="G46" s="21">
        <v>969</v>
      </c>
      <c r="H46" s="10" t="s">
        <v>162</v>
      </c>
      <c r="I46" s="10">
        <v>392.88</v>
      </c>
    </row>
    <row r="47" spans="1:9" ht="20" customHeight="1" x14ac:dyDescent="0.2">
      <c r="A47" s="10">
        <f t="shared" si="1"/>
        <v>46</v>
      </c>
      <c r="B47" s="10" t="s">
        <v>110</v>
      </c>
      <c r="C47" s="11" t="s">
        <v>111</v>
      </c>
      <c r="D47" s="12">
        <v>45281</v>
      </c>
      <c r="E47" s="12">
        <v>45326</v>
      </c>
      <c r="F47" s="21">
        <v>330</v>
      </c>
      <c r="G47" s="21">
        <v>488</v>
      </c>
      <c r="H47" s="10" t="s">
        <v>162</v>
      </c>
      <c r="I47" s="10">
        <v>47.88</v>
      </c>
    </row>
    <row r="48" spans="1:9" ht="20" customHeight="1" x14ac:dyDescent="0.2">
      <c r="A48" s="10">
        <f t="shared" si="1"/>
        <v>47</v>
      </c>
      <c r="B48" s="10" t="s">
        <v>112</v>
      </c>
      <c r="C48" s="11" t="s">
        <v>113</v>
      </c>
      <c r="D48" s="12">
        <v>45281</v>
      </c>
      <c r="E48" s="12">
        <v>45326</v>
      </c>
      <c r="F48" s="21">
        <v>229.6</v>
      </c>
      <c r="G48" s="21">
        <v>789</v>
      </c>
      <c r="H48" s="10" t="s">
        <v>162</v>
      </c>
      <c r="I48" s="10">
        <v>243.64</v>
      </c>
    </row>
    <row r="49" spans="1:9" ht="20" customHeight="1" x14ac:dyDescent="0.2">
      <c r="A49" s="10">
        <f t="shared" si="1"/>
        <v>48</v>
      </c>
      <c r="B49" s="10" t="s">
        <v>114</v>
      </c>
      <c r="C49" s="11" t="s">
        <v>115</v>
      </c>
      <c r="D49" s="12">
        <v>45281</v>
      </c>
      <c r="E49" s="12">
        <v>45326</v>
      </c>
      <c r="F49" s="21">
        <v>401.8</v>
      </c>
      <c r="G49" s="21">
        <v>501.2</v>
      </c>
      <c r="H49" s="10" t="s">
        <v>162</v>
      </c>
      <c r="I49" s="10">
        <v>24.74</v>
      </c>
    </row>
    <row r="50" spans="1:9" ht="20" customHeight="1" x14ac:dyDescent="0.2">
      <c r="A50" s="6">
        <f t="shared" si="1"/>
        <v>49</v>
      </c>
      <c r="B50" s="6" t="s">
        <v>116</v>
      </c>
      <c r="C50" s="7" t="s">
        <v>117</v>
      </c>
      <c r="D50" s="8">
        <v>45299</v>
      </c>
      <c r="E50" s="8">
        <v>45359</v>
      </c>
      <c r="F50" s="22">
        <v>340.1</v>
      </c>
      <c r="G50" s="22">
        <v>624</v>
      </c>
      <c r="H50" s="10" t="s">
        <v>162</v>
      </c>
      <c r="I50" s="6"/>
    </row>
    <row r="51" spans="1:9" ht="20" customHeight="1" x14ac:dyDescent="0.2">
      <c r="A51" s="10">
        <f t="shared" si="1"/>
        <v>50</v>
      </c>
      <c r="B51" s="10" t="s">
        <v>119</v>
      </c>
      <c r="C51" s="11" t="s">
        <v>120</v>
      </c>
      <c r="D51" s="12">
        <v>45370</v>
      </c>
      <c r="E51" s="12">
        <v>45415</v>
      </c>
      <c r="F51" s="21">
        <v>611.6</v>
      </c>
      <c r="G51" s="21">
        <v>766</v>
      </c>
      <c r="H51" s="10" t="s">
        <v>162</v>
      </c>
      <c r="I51" s="10">
        <v>29.33</v>
      </c>
    </row>
    <row r="52" spans="1:9" ht="20" customHeight="1" x14ac:dyDescent="0.2">
      <c r="A52" s="10">
        <f t="shared" si="1"/>
        <v>51</v>
      </c>
      <c r="B52" s="10" t="s">
        <v>121</v>
      </c>
      <c r="C52" s="11" t="s">
        <v>122</v>
      </c>
      <c r="D52" s="12">
        <v>45697</v>
      </c>
      <c r="E52" s="12">
        <v>45742</v>
      </c>
      <c r="F52" s="21">
        <v>331.1</v>
      </c>
      <c r="G52" s="21">
        <v>2286.16</v>
      </c>
      <c r="H52" s="10" t="s">
        <v>162</v>
      </c>
      <c r="I52" s="10">
        <v>590.47</v>
      </c>
    </row>
    <row r="53" spans="1:9" ht="20" customHeight="1" x14ac:dyDescent="0.2">
      <c r="A53" s="10">
        <f t="shared" si="1"/>
        <v>52</v>
      </c>
      <c r="B53" s="10" t="s">
        <v>123</v>
      </c>
      <c r="C53" s="11" t="s">
        <v>124</v>
      </c>
      <c r="D53" s="12">
        <v>45755</v>
      </c>
      <c r="E53" s="12">
        <v>45800</v>
      </c>
      <c r="F53" s="21">
        <v>332.5</v>
      </c>
      <c r="G53" s="21">
        <v>1992.7</v>
      </c>
      <c r="H53" s="10" t="s">
        <v>162</v>
      </c>
      <c r="I53" s="10">
        <v>498.06</v>
      </c>
    </row>
    <row r="54" spans="1:9" ht="20" customHeight="1" x14ac:dyDescent="0.2">
      <c r="A54" s="10">
        <f t="shared" si="1"/>
        <v>53</v>
      </c>
      <c r="B54" s="10" t="s">
        <v>125</v>
      </c>
      <c r="C54" s="11" t="s">
        <v>126</v>
      </c>
      <c r="D54" s="12">
        <v>45757</v>
      </c>
      <c r="E54" s="12">
        <v>45802</v>
      </c>
      <c r="F54" s="21">
        <v>332.7</v>
      </c>
      <c r="G54" s="21">
        <v>1870.84</v>
      </c>
      <c r="H54" s="10" t="s">
        <v>162</v>
      </c>
      <c r="I54" s="10">
        <v>462.32</v>
      </c>
    </row>
    <row r="55" spans="1:9" ht="20" customHeight="1" x14ac:dyDescent="0.2">
      <c r="A55" s="10">
        <f t="shared" si="1"/>
        <v>54</v>
      </c>
      <c r="B55" s="10" t="s">
        <v>127</v>
      </c>
      <c r="C55" s="11" t="s">
        <v>128</v>
      </c>
      <c r="D55" s="12">
        <v>45781</v>
      </c>
      <c r="E55" s="12">
        <v>45826</v>
      </c>
      <c r="F55" s="21">
        <v>297</v>
      </c>
      <c r="G55" s="21">
        <v>1405.88</v>
      </c>
      <c r="H55" s="10" t="s">
        <v>162</v>
      </c>
      <c r="I55" s="10">
        <v>373.36</v>
      </c>
    </row>
    <row r="56" spans="1:9" ht="20" customHeight="1" x14ac:dyDescent="0.2">
      <c r="A56" s="10">
        <f t="shared" si="1"/>
        <v>55</v>
      </c>
      <c r="B56" s="10" t="s">
        <v>129</v>
      </c>
      <c r="C56" s="11" t="s">
        <v>130</v>
      </c>
      <c r="D56" s="12">
        <v>45804</v>
      </c>
      <c r="E56" s="12">
        <v>45849</v>
      </c>
      <c r="F56" s="21">
        <v>318.2</v>
      </c>
      <c r="G56" s="21">
        <v>882.17</v>
      </c>
      <c r="H56" s="10" t="s">
        <v>162</v>
      </c>
      <c r="I56" s="10">
        <v>179.34</v>
      </c>
    </row>
    <row r="57" spans="1:9" ht="20" customHeight="1" x14ac:dyDescent="0.2">
      <c r="A57" s="10">
        <f t="shared" si="1"/>
        <v>56</v>
      </c>
      <c r="B57" s="10" t="s">
        <v>131</v>
      </c>
      <c r="C57" s="11" t="s">
        <v>132</v>
      </c>
      <c r="D57" s="12">
        <v>45855</v>
      </c>
      <c r="E57" s="12">
        <v>45900</v>
      </c>
      <c r="F57" s="21">
        <v>402.7</v>
      </c>
      <c r="G57" s="21">
        <v>853.49</v>
      </c>
      <c r="H57" s="10" t="s">
        <v>162</v>
      </c>
      <c r="I57" s="10">
        <v>111.94</v>
      </c>
    </row>
    <row r="58" spans="1:9" ht="20" customHeight="1" x14ac:dyDescent="0.2">
      <c r="A58" s="10">
        <f t="shared" si="1"/>
        <v>57</v>
      </c>
      <c r="B58" s="10" t="s">
        <v>133</v>
      </c>
      <c r="C58" s="11" t="s">
        <v>134</v>
      </c>
      <c r="D58" s="12">
        <v>45858</v>
      </c>
      <c r="E58" s="12">
        <v>45903</v>
      </c>
      <c r="F58" s="21">
        <v>394.9</v>
      </c>
      <c r="G58" s="21">
        <v>650.32000000000005</v>
      </c>
      <c r="H58" s="10" t="s">
        <v>162</v>
      </c>
      <c r="I58" s="10">
        <v>64.680000000000007</v>
      </c>
    </row>
    <row r="59" spans="1:9" ht="20" customHeight="1" x14ac:dyDescent="0.2">
      <c r="A59" s="10">
        <f t="shared" si="1"/>
        <v>58</v>
      </c>
      <c r="B59" s="10" t="s">
        <v>135</v>
      </c>
      <c r="C59" s="11" t="s">
        <v>136</v>
      </c>
      <c r="D59" s="12">
        <v>45889</v>
      </c>
      <c r="E59" s="12">
        <v>45934</v>
      </c>
      <c r="F59" s="21">
        <v>321.3</v>
      </c>
      <c r="G59" s="21">
        <v>444.9</v>
      </c>
      <c r="H59" s="10" t="s">
        <v>162</v>
      </c>
      <c r="I59" s="10">
        <v>42.86</v>
      </c>
    </row>
    <row r="60" spans="1:9" ht="20" customHeight="1" x14ac:dyDescent="0.2">
      <c r="A60" s="10">
        <f t="shared" si="1"/>
        <v>59</v>
      </c>
      <c r="B60" s="10" t="s">
        <v>137</v>
      </c>
      <c r="C60" s="11" t="s">
        <v>138</v>
      </c>
      <c r="D60" s="12">
        <v>45901</v>
      </c>
      <c r="E60" s="12">
        <v>45946</v>
      </c>
      <c r="F60" s="21">
        <v>267.5</v>
      </c>
      <c r="G60" s="21">
        <v>602</v>
      </c>
      <c r="H60" s="10" t="s">
        <v>162</v>
      </c>
      <c r="I60" s="10">
        <v>125.05</v>
      </c>
    </row>
    <row r="61" spans="1:9" ht="20" customHeight="1" x14ac:dyDescent="0.2">
      <c r="A61" s="10">
        <f t="shared" si="1"/>
        <v>60</v>
      </c>
      <c r="B61" s="10" t="s">
        <v>139</v>
      </c>
      <c r="C61" s="11" t="s">
        <v>140</v>
      </c>
      <c r="D61" s="12">
        <v>45965</v>
      </c>
      <c r="E61" s="12">
        <v>46010</v>
      </c>
      <c r="F61" s="21">
        <v>349.4</v>
      </c>
      <c r="G61" s="21">
        <v>688</v>
      </c>
      <c r="H61" s="10" t="s">
        <v>162</v>
      </c>
      <c r="I61" s="10">
        <v>99.74</v>
      </c>
    </row>
    <row r="62" spans="1:9" ht="20" customHeight="1" x14ac:dyDescent="0.2">
      <c r="A62" s="10">
        <f t="shared" si="1"/>
        <v>61</v>
      </c>
      <c r="B62" s="10" t="s">
        <v>141</v>
      </c>
      <c r="C62" s="11" t="s">
        <v>142</v>
      </c>
      <c r="D62" s="12">
        <v>45967</v>
      </c>
      <c r="E62" s="12">
        <v>46012</v>
      </c>
      <c r="F62" s="21">
        <v>442.4</v>
      </c>
      <c r="G62" s="21">
        <v>559.20000000000005</v>
      </c>
      <c r="H62" s="10" t="s">
        <v>162</v>
      </c>
      <c r="I62" s="10">
        <v>26.4</v>
      </c>
    </row>
    <row r="63" spans="1:9" ht="20" customHeight="1" x14ac:dyDescent="0.2">
      <c r="A63" s="10">
        <f t="shared" si="1"/>
        <v>62</v>
      </c>
      <c r="B63" s="10" t="s">
        <v>143</v>
      </c>
      <c r="C63" s="11" t="s">
        <v>144</v>
      </c>
      <c r="D63" s="12">
        <v>45970</v>
      </c>
      <c r="E63" s="12">
        <v>46015</v>
      </c>
      <c r="F63" s="21">
        <v>351.4</v>
      </c>
      <c r="G63" s="21">
        <v>1690.1</v>
      </c>
      <c r="H63" s="10" t="s">
        <v>162</v>
      </c>
      <c r="I63" s="10">
        <v>380.96</v>
      </c>
    </row>
    <row r="64" spans="1:9" ht="20" customHeight="1" x14ac:dyDescent="0.2">
      <c r="A64" s="10">
        <f t="shared" si="1"/>
        <v>63</v>
      </c>
      <c r="B64" s="10" t="s">
        <v>145</v>
      </c>
      <c r="C64" s="11" t="s">
        <v>146</v>
      </c>
      <c r="D64" s="12">
        <v>45971</v>
      </c>
      <c r="E64" s="12">
        <v>46016</v>
      </c>
      <c r="F64" s="21">
        <v>332.6</v>
      </c>
      <c r="G64" s="21">
        <v>590</v>
      </c>
      <c r="H64" s="10" t="s">
        <v>162</v>
      </c>
      <c r="I64" s="10">
        <v>72.88</v>
      </c>
    </row>
    <row r="65" spans="1:9" ht="20" customHeight="1" x14ac:dyDescent="0.2">
      <c r="A65" s="10">
        <f t="shared" si="1"/>
        <v>64</v>
      </c>
      <c r="B65" s="10" t="s">
        <v>147</v>
      </c>
      <c r="C65" s="11" t="s">
        <v>148</v>
      </c>
      <c r="D65" s="12">
        <v>45972</v>
      </c>
      <c r="E65" s="12">
        <v>46017</v>
      </c>
      <c r="F65" s="21">
        <v>313.5</v>
      </c>
      <c r="G65" s="21">
        <v>743.9</v>
      </c>
      <c r="H65" s="10" t="s">
        <v>162</v>
      </c>
      <c r="I65" s="10">
        <v>133.81</v>
      </c>
    </row>
    <row r="66" spans="1:9" ht="20" customHeight="1" x14ac:dyDescent="0.2">
      <c r="A66" s="10">
        <f t="shared" ref="A66:A71" si="2">ROW()-1</f>
        <v>65</v>
      </c>
      <c r="B66" s="10" t="s">
        <v>149</v>
      </c>
      <c r="C66" s="11" t="s">
        <v>150</v>
      </c>
      <c r="D66" s="12">
        <v>45972</v>
      </c>
      <c r="E66" s="12">
        <v>46017</v>
      </c>
      <c r="F66" s="21">
        <v>407.4</v>
      </c>
      <c r="G66" s="21">
        <v>2781</v>
      </c>
      <c r="H66" s="10" t="s">
        <v>162</v>
      </c>
      <c r="I66" s="10">
        <v>594.38</v>
      </c>
    </row>
    <row r="67" spans="1:9" ht="20" customHeight="1" x14ac:dyDescent="0.2">
      <c r="A67" s="10">
        <f t="shared" si="2"/>
        <v>66</v>
      </c>
      <c r="B67" s="10" t="s">
        <v>151</v>
      </c>
      <c r="C67" s="11" t="s">
        <v>152</v>
      </c>
      <c r="D67" s="12">
        <v>45977</v>
      </c>
      <c r="E67" s="12">
        <v>46022</v>
      </c>
      <c r="F67" s="21">
        <v>311.2</v>
      </c>
      <c r="G67" s="21">
        <v>1285</v>
      </c>
      <c r="H67" s="10" t="s">
        <v>162</v>
      </c>
      <c r="I67" s="10">
        <v>312.92</v>
      </c>
    </row>
    <row r="68" spans="1:9" ht="20" customHeight="1" x14ac:dyDescent="0.2">
      <c r="A68" s="10">
        <f t="shared" si="2"/>
        <v>67</v>
      </c>
      <c r="B68" s="10" t="s">
        <v>153</v>
      </c>
      <c r="C68" s="11" t="s">
        <v>154</v>
      </c>
      <c r="D68" s="12">
        <v>45985</v>
      </c>
      <c r="E68" s="12">
        <v>46030</v>
      </c>
      <c r="F68" s="21">
        <v>331.8</v>
      </c>
      <c r="G68" s="21">
        <v>1013</v>
      </c>
      <c r="H68" s="10" t="s">
        <v>162</v>
      </c>
      <c r="I68" s="10">
        <v>205.3</v>
      </c>
    </row>
    <row r="69" spans="1:9" ht="20" customHeight="1" x14ac:dyDescent="0.2">
      <c r="A69" s="10">
        <f t="shared" si="2"/>
        <v>68</v>
      </c>
      <c r="B69" s="10" t="s">
        <v>155</v>
      </c>
      <c r="C69" s="11" t="s">
        <v>156</v>
      </c>
      <c r="D69" s="12">
        <v>46001</v>
      </c>
      <c r="E69" s="12">
        <v>46046</v>
      </c>
      <c r="F69" s="21">
        <v>351.7</v>
      </c>
      <c r="G69" s="21">
        <v>1881.5</v>
      </c>
      <c r="H69" s="10" t="s">
        <v>162</v>
      </c>
      <c r="I69" s="10">
        <v>386.35</v>
      </c>
    </row>
    <row r="70" spans="1:9" ht="20" customHeight="1" x14ac:dyDescent="0.2">
      <c r="A70" s="10">
        <f t="shared" si="2"/>
        <v>69</v>
      </c>
      <c r="B70" s="10" t="s">
        <v>157</v>
      </c>
      <c r="C70" s="10" t="s">
        <v>157</v>
      </c>
      <c r="D70" s="12">
        <v>46069</v>
      </c>
      <c r="E70" s="12">
        <v>46114</v>
      </c>
      <c r="F70" s="21">
        <v>330</v>
      </c>
      <c r="G70" s="21">
        <v>361.8</v>
      </c>
      <c r="H70" s="10" t="s">
        <v>162</v>
      </c>
      <c r="I70" s="10">
        <v>9.64</v>
      </c>
    </row>
    <row r="71" spans="1:9" x14ac:dyDescent="0.2">
      <c r="A71" s="10">
        <f t="shared" si="2"/>
        <v>70</v>
      </c>
      <c r="B71" s="10" t="s">
        <v>158</v>
      </c>
      <c r="C71" s="11" t="s">
        <v>159</v>
      </c>
      <c r="D71" s="12">
        <v>46069</v>
      </c>
      <c r="E71" s="12">
        <v>46114</v>
      </c>
      <c r="F71" s="21">
        <v>330</v>
      </c>
      <c r="G71" s="21">
        <v>1540</v>
      </c>
      <c r="H71" s="10" t="s">
        <v>162</v>
      </c>
      <c r="I71" s="10">
        <v>366.67</v>
      </c>
    </row>
    <row r="72" spans="1:9" x14ac:dyDescent="0.2">
      <c r="A72" s="1"/>
      <c r="B72" s="1"/>
      <c r="C72" s="1"/>
      <c r="D72" s="1"/>
      <c r="E72" s="5"/>
      <c r="F72" s="5"/>
      <c r="G72" s="5"/>
      <c r="H72" s="32" t="s">
        <v>160</v>
      </c>
      <c r="I72" s="35">
        <f>AVERAGE(I28:I71)</f>
        <v>140.26697674418611</v>
      </c>
    </row>
    <row r="73" spans="1:9" x14ac:dyDescent="0.2">
      <c r="H73" s="35" t="s">
        <v>161</v>
      </c>
      <c r="I73" s="35">
        <f>((1+I72/100)^(365/45)-1)*100</f>
        <v>122319.89777012375</v>
      </c>
    </row>
    <row r="74" spans="1:9" x14ac:dyDescent="0.2">
      <c r="H74" s="32" t="s">
        <v>166</v>
      </c>
      <c r="I74" s="35">
        <f>MEDIAN(I2:I71)</f>
        <v>34.82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4"/>
  <sheetViews>
    <sheetView zoomScale="140" zoomScaleNormal="140" workbookViewId="0">
      <selection activeCell="E77" sqref="E77"/>
    </sheetView>
  </sheetViews>
  <sheetFormatPr baseColWidth="10" defaultRowHeight="16" x14ac:dyDescent="0.2"/>
  <cols>
    <col min="3" max="3" width="44.6640625" bestFit="1" customWidth="1"/>
    <col min="4" max="4" width="11.5" bestFit="1" customWidth="1"/>
    <col min="5" max="5" width="12.33203125" bestFit="1" customWidth="1"/>
    <col min="6" max="6" width="15" customWidth="1"/>
    <col min="7" max="7" width="12" bestFit="1" customWidth="1"/>
    <col min="8" max="8" width="12.5" bestFit="1" customWidth="1"/>
    <col min="9" max="9" width="12.83203125" bestFit="1" customWidth="1"/>
  </cols>
  <sheetData>
    <row r="1" spans="1:9" ht="3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168</v>
      </c>
      <c r="G1" s="1" t="s">
        <v>169</v>
      </c>
      <c r="H1" s="1" t="s">
        <v>1</v>
      </c>
      <c r="I1" s="5" t="s">
        <v>18</v>
      </c>
    </row>
    <row r="2" spans="1:9" ht="20" customHeight="1" x14ac:dyDescent="0.2">
      <c r="A2" s="6">
        <f t="shared" ref="A2:A33" si="0">ROW()-1</f>
        <v>1</v>
      </c>
      <c r="B2" s="6" t="s">
        <v>19</v>
      </c>
      <c r="C2" s="7" t="s">
        <v>20</v>
      </c>
      <c r="D2" s="8">
        <v>44850</v>
      </c>
      <c r="E2" s="8">
        <v>44911</v>
      </c>
      <c r="F2" s="22">
        <v>255.7</v>
      </c>
      <c r="G2" s="22">
        <v>198</v>
      </c>
      <c r="H2" s="6" t="s">
        <v>118</v>
      </c>
      <c r="I2" s="6">
        <v>-21.78</v>
      </c>
    </row>
    <row r="3" spans="1:9" ht="20" customHeight="1" x14ac:dyDescent="0.2">
      <c r="A3" s="6">
        <f t="shared" si="0"/>
        <v>2</v>
      </c>
      <c r="B3" s="6" t="s">
        <v>22</v>
      </c>
      <c r="C3" s="7" t="s">
        <v>23</v>
      </c>
      <c r="D3" s="8">
        <v>44851</v>
      </c>
      <c r="E3" s="8">
        <v>44912</v>
      </c>
      <c r="F3" s="22">
        <v>214.2</v>
      </c>
      <c r="G3" s="22">
        <v>349</v>
      </c>
      <c r="H3" s="6" t="s">
        <v>118</v>
      </c>
      <c r="I3" s="6">
        <v>63.4</v>
      </c>
    </row>
    <row r="4" spans="1:9" ht="20" customHeight="1" x14ac:dyDescent="0.2">
      <c r="A4" s="6">
        <f t="shared" si="0"/>
        <v>3</v>
      </c>
      <c r="B4" s="6" t="s">
        <v>24</v>
      </c>
      <c r="C4" s="7" t="s">
        <v>25</v>
      </c>
      <c r="D4" s="8">
        <v>44880</v>
      </c>
      <c r="E4" s="8">
        <v>44941</v>
      </c>
      <c r="F4" s="22">
        <v>321</v>
      </c>
      <c r="G4" s="22">
        <v>462</v>
      </c>
      <c r="H4" s="6" t="s">
        <v>118</v>
      </c>
      <c r="I4" s="6">
        <v>34.58</v>
      </c>
    </row>
    <row r="5" spans="1:9" ht="20" customHeight="1" x14ac:dyDescent="0.2">
      <c r="A5" s="6">
        <f t="shared" si="0"/>
        <v>4</v>
      </c>
      <c r="B5" s="6" t="s">
        <v>26</v>
      </c>
      <c r="C5" s="7" t="s">
        <v>27</v>
      </c>
      <c r="D5" s="8">
        <v>44909</v>
      </c>
      <c r="E5" s="8">
        <v>44971</v>
      </c>
      <c r="F5" s="22">
        <v>237.6</v>
      </c>
      <c r="G5" s="22">
        <v>488.5</v>
      </c>
      <c r="H5" s="6" t="s">
        <v>118</v>
      </c>
      <c r="I5" s="6">
        <v>105.6</v>
      </c>
    </row>
    <row r="6" spans="1:9" ht="20" customHeight="1" x14ac:dyDescent="0.2">
      <c r="A6" s="6">
        <f t="shared" si="0"/>
        <v>5</v>
      </c>
      <c r="B6" s="6" t="s">
        <v>28</v>
      </c>
      <c r="C6" s="7" t="s">
        <v>29</v>
      </c>
      <c r="D6" s="8">
        <v>44909</v>
      </c>
      <c r="E6" s="8">
        <v>44971</v>
      </c>
      <c r="F6" s="22">
        <v>270</v>
      </c>
      <c r="G6" s="22">
        <v>375</v>
      </c>
      <c r="H6" s="6" t="s">
        <v>118</v>
      </c>
      <c r="I6" s="6">
        <v>38.89</v>
      </c>
    </row>
    <row r="7" spans="1:9" ht="20" customHeight="1" x14ac:dyDescent="0.2">
      <c r="A7" s="6">
        <f t="shared" si="0"/>
        <v>6</v>
      </c>
      <c r="B7" s="6" t="s">
        <v>30</v>
      </c>
      <c r="C7" s="7" t="s">
        <v>31</v>
      </c>
      <c r="D7" s="8">
        <v>44915</v>
      </c>
      <c r="E7" s="8">
        <v>44977</v>
      </c>
      <c r="F7" s="22">
        <v>996.6</v>
      </c>
      <c r="G7" s="22">
        <v>2040</v>
      </c>
      <c r="H7" s="6" t="s">
        <v>118</v>
      </c>
      <c r="I7" s="6">
        <v>104.7</v>
      </c>
    </row>
    <row r="8" spans="1:9" ht="20" customHeight="1" x14ac:dyDescent="0.2">
      <c r="A8" s="6">
        <f t="shared" si="0"/>
        <v>7</v>
      </c>
      <c r="B8" s="6" t="s">
        <v>32</v>
      </c>
      <c r="C8" s="7" t="s">
        <v>33</v>
      </c>
      <c r="D8" s="8">
        <v>44930</v>
      </c>
      <c r="E8" s="8">
        <v>44989</v>
      </c>
      <c r="F8" s="22">
        <v>213.7</v>
      </c>
      <c r="G8" s="22">
        <v>539</v>
      </c>
      <c r="H8" s="6" t="s">
        <v>118</v>
      </c>
      <c r="I8" s="6">
        <v>164.81</v>
      </c>
    </row>
    <row r="9" spans="1:9" ht="20" customHeight="1" x14ac:dyDescent="0.2">
      <c r="A9" s="6">
        <f t="shared" si="0"/>
        <v>8</v>
      </c>
      <c r="B9" s="6" t="s">
        <v>34</v>
      </c>
      <c r="C9" s="7" t="s">
        <v>35</v>
      </c>
      <c r="D9" s="8">
        <v>44990</v>
      </c>
      <c r="E9" s="8">
        <v>45051</v>
      </c>
      <c r="F9" s="22">
        <v>328.9</v>
      </c>
      <c r="G9" s="22">
        <v>382</v>
      </c>
      <c r="H9" s="6" t="s">
        <v>118</v>
      </c>
      <c r="I9" s="6">
        <v>18.579999999999998</v>
      </c>
    </row>
    <row r="10" spans="1:9" ht="20" customHeight="1" x14ac:dyDescent="0.2">
      <c r="A10" s="6">
        <f t="shared" si="0"/>
        <v>9</v>
      </c>
      <c r="B10" s="6" t="s">
        <v>36</v>
      </c>
      <c r="C10" s="7" t="s">
        <v>37</v>
      </c>
      <c r="D10" s="8">
        <v>44992</v>
      </c>
      <c r="E10" s="8">
        <v>45053</v>
      </c>
      <c r="F10" s="22">
        <v>291.5</v>
      </c>
      <c r="G10" s="22">
        <v>519</v>
      </c>
      <c r="H10" s="6" t="s">
        <v>118</v>
      </c>
      <c r="I10" s="6">
        <v>78.040000000000006</v>
      </c>
    </row>
    <row r="11" spans="1:9" ht="20" customHeight="1" x14ac:dyDescent="0.2">
      <c r="A11" s="6">
        <f t="shared" si="0"/>
        <v>10</v>
      </c>
      <c r="B11" s="6" t="s">
        <v>38</v>
      </c>
      <c r="C11" s="7" t="s">
        <v>39</v>
      </c>
      <c r="D11" s="8">
        <v>45007</v>
      </c>
      <c r="E11" s="8">
        <v>45068</v>
      </c>
      <c r="F11" s="22">
        <v>292</v>
      </c>
      <c r="G11" s="22">
        <v>259</v>
      </c>
      <c r="H11" s="6" t="s">
        <v>118</v>
      </c>
      <c r="I11" s="6">
        <v>-11.3</v>
      </c>
    </row>
    <row r="12" spans="1:9" ht="20" customHeight="1" x14ac:dyDescent="0.2">
      <c r="A12" s="6">
        <f t="shared" si="0"/>
        <v>11</v>
      </c>
      <c r="B12" s="6" t="s">
        <v>40</v>
      </c>
      <c r="C12" s="7" t="s">
        <v>41</v>
      </c>
      <c r="D12" s="8">
        <v>45008</v>
      </c>
      <c r="E12" s="8">
        <v>45069</v>
      </c>
      <c r="F12" s="22">
        <v>328.6</v>
      </c>
      <c r="G12" s="22">
        <v>365</v>
      </c>
      <c r="H12" s="6" t="s">
        <v>118</v>
      </c>
      <c r="I12" s="6">
        <v>11.08</v>
      </c>
    </row>
    <row r="13" spans="1:9" ht="20" customHeight="1" x14ac:dyDescent="0.2">
      <c r="A13" s="6">
        <f t="shared" si="0"/>
        <v>12</v>
      </c>
      <c r="B13" s="6" t="s">
        <v>42</v>
      </c>
      <c r="C13" s="7" t="s">
        <v>43</v>
      </c>
      <c r="D13" s="8">
        <v>45008</v>
      </c>
      <c r="E13" s="8">
        <v>45069</v>
      </c>
      <c r="F13" s="22">
        <v>139.69999999999999</v>
      </c>
      <c r="G13" s="22">
        <v>778</v>
      </c>
      <c r="H13" s="6" t="s">
        <v>118</v>
      </c>
      <c r="I13" s="6">
        <v>456.91</v>
      </c>
    </row>
    <row r="14" spans="1:9" ht="20" customHeight="1" x14ac:dyDescent="0.2">
      <c r="A14" s="6">
        <f t="shared" si="0"/>
        <v>13</v>
      </c>
      <c r="B14" s="6" t="s">
        <v>44</v>
      </c>
      <c r="C14" s="7" t="s">
        <v>45</v>
      </c>
      <c r="D14" s="8">
        <v>45012</v>
      </c>
      <c r="E14" s="8">
        <v>45073</v>
      </c>
      <c r="F14" s="22">
        <v>430.1</v>
      </c>
      <c r="G14" s="22">
        <v>552</v>
      </c>
      <c r="H14" s="6" t="s">
        <v>118</v>
      </c>
      <c r="I14" s="6">
        <v>29.5</v>
      </c>
    </row>
    <row r="15" spans="1:9" ht="20" customHeight="1" x14ac:dyDescent="0.2">
      <c r="A15" s="6">
        <f t="shared" si="0"/>
        <v>14</v>
      </c>
      <c r="B15" s="6" t="s">
        <v>46</v>
      </c>
      <c r="C15" s="7" t="s">
        <v>47</v>
      </c>
      <c r="D15" s="8">
        <v>45026</v>
      </c>
      <c r="E15" s="8">
        <v>45087</v>
      </c>
      <c r="F15" s="22">
        <v>324.5</v>
      </c>
      <c r="G15" s="22">
        <v>298</v>
      </c>
      <c r="H15" s="6" t="s">
        <v>118</v>
      </c>
      <c r="I15" s="6">
        <v>-11.28</v>
      </c>
    </row>
    <row r="16" spans="1:9" ht="20" customHeight="1" x14ac:dyDescent="0.2">
      <c r="A16" s="6">
        <f t="shared" si="0"/>
        <v>15</v>
      </c>
      <c r="B16" s="6" t="s">
        <v>48</v>
      </c>
      <c r="C16" s="7" t="s">
        <v>49</v>
      </c>
      <c r="D16" s="8">
        <v>45029</v>
      </c>
      <c r="E16" s="8">
        <v>45090</v>
      </c>
      <c r="F16" s="22">
        <v>155.1</v>
      </c>
      <c r="G16" s="22">
        <v>248</v>
      </c>
      <c r="H16" s="6" t="s">
        <v>118</v>
      </c>
      <c r="I16" s="6">
        <v>59.9</v>
      </c>
    </row>
    <row r="17" spans="1:9" ht="20" customHeight="1" x14ac:dyDescent="0.2">
      <c r="A17" s="6">
        <f t="shared" si="0"/>
        <v>16</v>
      </c>
      <c r="B17" s="6" t="s">
        <v>50</v>
      </c>
      <c r="C17" s="7" t="s">
        <v>51</v>
      </c>
      <c r="D17" s="8">
        <v>45029</v>
      </c>
      <c r="E17" s="8">
        <v>45090</v>
      </c>
      <c r="F17" s="22">
        <v>340</v>
      </c>
      <c r="G17" s="22">
        <v>293</v>
      </c>
      <c r="H17" s="6" t="s">
        <v>118</v>
      </c>
      <c r="I17" s="6">
        <v>-13.82</v>
      </c>
    </row>
    <row r="18" spans="1:9" ht="20" customHeight="1" x14ac:dyDescent="0.2">
      <c r="A18" s="6">
        <f t="shared" si="0"/>
        <v>17</v>
      </c>
      <c r="B18" s="6" t="s">
        <v>52</v>
      </c>
      <c r="C18" s="7" t="s">
        <v>53</v>
      </c>
      <c r="D18" s="8">
        <v>45048</v>
      </c>
      <c r="E18" s="8">
        <v>45109</v>
      </c>
      <c r="F18" s="22">
        <v>436.9</v>
      </c>
      <c r="G18" s="22">
        <v>2360.1</v>
      </c>
      <c r="H18" s="6" t="s">
        <v>118</v>
      </c>
      <c r="I18" s="6">
        <v>440.19</v>
      </c>
    </row>
    <row r="19" spans="1:9" ht="20" customHeight="1" x14ac:dyDescent="0.2">
      <c r="A19" s="6">
        <f t="shared" si="0"/>
        <v>18</v>
      </c>
      <c r="B19" s="6" t="s">
        <v>54</v>
      </c>
      <c r="C19" s="7" t="s">
        <v>55</v>
      </c>
      <c r="D19" s="8">
        <v>45053</v>
      </c>
      <c r="E19" s="8">
        <v>45114</v>
      </c>
      <c r="F19" s="22">
        <v>255</v>
      </c>
      <c r="G19" s="22">
        <v>275</v>
      </c>
      <c r="H19" s="6" t="s">
        <v>118</v>
      </c>
      <c r="I19" s="6">
        <v>7.84</v>
      </c>
    </row>
    <row r="20" spans="1:9" ht="20" customHeight="1" x14ac:dyDescent="0.2">
      <c r="A20" s="6">
        <f t="shared" si="0"/>
        <v>19</v>
      </c>
      <c r="B20" s="6" t="s">
        <v>56</v>
      </c>
      <c r="C20" s="7" t="s">
        <v>57</v>
      </c>
      <c r="D20" s="8">
        <v>45062</v>
      </c>
      <c r="E20" s="8">
        <v>45123</v>
      </c>
      <c r="F20" s="22">
        <v>301.5</v>
      </c>
      <c r="G20" s="22">
        <v>276.10000000000002</v>
      </c>
      <c r="H20" s="6" t="s">
        <v>118</v>
      </c>
      <c r="I20" s="6">
        <v>-8.42</v>
      </c>
    </row>
    <row r="21" spans="1:9" ht="20" customHeight="1" x14ac:dyDescent="0.2">
      <c r="A21" s="6">
        <f t="shared" si="0"/>
        <v>20</v>
      </c>
      <c r="B21" s="6" t="s">
        <v>58</v>
      </c>
      <c r="C21" s="7" t="s">
        <v>59</v>
      </c>
      <c r="D21" s="8">
        <v>45085</v>
      </c>
      <c r="E21" s="8">
        <v>45146</v>
      </c>
      <c r="F21" s="22">
        <v>223</v>
      </c>
      <c r="G21" s="22">
        <v>201.1</v>
      </c>
      <c r="H21" s="6" t="s">
        <v>118</v>
      </c>
      <c r="I21" s="6">
        <v>-9.82</v>
      </c>
    </row>
    <row r="22" spans="1:9" ht="20" customHeight="1" x14ac:dyDescent="0.2">
      <c r="A22" s="6">
        <f t="shared" si="0"/>
        <v>21</v>
      </c>
      <c r="B22" s="6" t="s">
        <v>60</v>
      </c>
      <c r="C22" s="7" t="s">
        <v>61</v>
      </c>
      <c r="D22" s="8">
        <v>45085</v>
      </c>
      <c r="E22" s="8">
        <v>45146</v>
      </c>
      <c r="F22" s="22">
        <v>287.10000000000002</v>
      </c>
      <c r="G22" s="22">
        <v>213</v>
      </c>
      <c r="H22" s="6" t="s">
        <v>118</v>
      </c>
      <c r="I22" s="6">
        <v>-25.81</v>
      </c>
    </row>
    <row r="23" spans="1:9" ht="20" customHeight="1" x14ac:dyDescent="0.2">
      <c r="A23" s="6">
        <f t="shared" si="0"/>
        <v>22</v>
      </c>
      <c r="B23" s="6" t="s">
        <v>62</v>
      </c>
      <c r="C23" s="7" t="s">
        <v>63</v>
      </c>
      <c r="D23" s="8">
        <v>45088</v>
      </c>
      <c r="E23" s="8">
        <v>45149</v>
      </c>
      <c r="F23" s="22">
        <v>122.2</v>
      </c>
      <c r="G23" s="22">
        <v>720</v>
      </c>
      <c r="H23" s="6" t="s">
        <v>118</v>
      </c>
      <c r="I23" s="6">
        <v>478.15</v>
      </c>
    </row>
    <row r="24" spans="1:9" ht="20" customHeight="1" x14ac:dyDescent="0.2">
      <c r="A24" s="6">
        <f t="shared" si="0"/>
        <v>23</v>
      </c>
      <c r="B24" s="6" t="s">
        <v>64</v>
      </c>
      <c r="C24" s="7" t="s">
        <v>65</v>
      </c>
      <c r="D24" s="8">
        <v>45095</v>
      </c>
      <c r="E24" s="8">
        <v>45156</v>
      </c>
      <c r="F24" s="22">
        <v>255.2</v>
      </c>
      <c r="G24" s="22">
        <v>189.1</v>
      </c>
      <c r="H24" s="6" t="s">
        <v>118</v>
      </c>
      <c r="I24" s="6">
        <v>-23.59</v>
      </c>
    </row>
    <row r="25" spans="1:9" ht="20" customHeight="1" x14ac:dyDescent="0.2">
      <c r="A25" s="6">
        <f t="shared" si="0"/>
        <v>24</v>
      </c>
      <c r="B25" s="6" t="s">
        <v>66</v>
      </c>
      <c r="C25" s="7" t="s">
        <v>67</v>
      </c>
      <c r="D25" s="8">
        <v>45097</v>
      </c>
      <c r="E25" s="8">
        <v>45158</v>
      </c>
      <c r="F25" s="22">
        <v>320.89999999999998</v>
      </c>
      <c r="G25" s="22">
        <v>206.2</v>
      </c>
      <c r="H25" s="6" t="s">
        <v>118</v>
      </c>
      <c r="I25" s="6">
        <v>-35.74</v>
      </c>
    </row>
    <row r="26" spans="1:9" ht="20" customHeight="1" x14ac:dyDescent="0.2">
      <c r="A26" s="6">
        <f t="shared" si="0"/>
        <v>25</v>
      </c>
      <c r="B26" s="6" t="s">
        <v>68</v>
      </c>
      <c r="C26" s="7" t="s">
        <v>69</v>
      </c>
      <c r="D26" s="8">
        <v>45112</v>
      </c>
      <c r="E26" s="8">
        <v>45174</v>
      </c>
      <c r="F26" s="22">
        <v>243</v>
      </c>
      <c r="G26" s="22">
        <v>161.1</v>
      </c>
      <c r="H26" s="6" t="s">
        <v>118</v>
      </c>
      <c r="I26" s="6">
        <v>-33.700000000000003</v>
      </c>
    </row>
    <row r="27" spans="1:9" ht="20" customHeight="1" x14ac:dyDescent="0.2">
      <c r="A27" s="6">
        <f t="shared" si="0"/>
        <v>26</v>
      </c>
      <c r="B27" s="6" t="s">
        <v>70</v>
      </c>
      <c r="C27" s="7" t="s">
        <v>71</v>
      </c>
      <c r="D27" s="8">
        <v>45112</v>
      </c>
      <c r="E27" s="8">
        <v>45174</v>
      </c>
      <c r="F27" s="22">
        <v>274.2</v>
      </c>
      <c r="G27" s="22">
        <v>306</v>
      </c>
      <c r="H27" s="6" t="s">
        <v>118</v>
      </c>
      <c r="I27" s="6">
        <v>11.6</v>
      </c>
    </row>
    <row r="28" spans="1:9" ht="20" customHeight="1" x14ac:dyDescent="0.2">
      <c r="A28" s="6">
        <f t="shared" si="0"/>
        <v>27</v>
      </c>
      <c r="B28" s="6" t="s">
        <v>72</v>
      </c>
      <c r="C28" s="7" t="s">
        <v>73</v>
      </c>
      <c r="D28" s="8">
        <v>45144</v>
      </c>
      <c r="E28" s="8">
        <v>45205</v>
      </c>
      <c r="F28" s="22">
        <v>582.4</v>
      </c>
      <c r="G28" s="22">
        <v>486</v>
      </c>
      <c r="H28" s="6" t="s">
        <v>118</v>
      </c>
      <c r="I28" s="6">
        <v>-13.58</v>
      </c>
    </row>
    <row r="29" spans="1:9" ht="20" customHeight="1" x14ac:dyDescent="0.2">
      <c r="A29" s="6">
        <f t="shared" si="0"/>
        <v>28</v>
      </c>
      <c r="B29" s="6" t="s">
        <v>74</v>
      </c>
      <c r="C29" s="7" t="s">
        <v>75</v>
      </c>
      <c r="D29" s="8">
        <v>45144</v>
      </c>
      <c r="E29" s="8">
        <v>45205</v>
      </c>
      <c r="F29" s="22">
        <v>275.39999999999998</v>
      </c>
      <c r="G29" s="22">
        <v>237.6</v>
      </c>
      <c r="H29" s="6" t="s">
        <v>118</v>
      </c>
      <c r="I29" s="6">
        <v>-11.4</v>
      </c>
    </row>
    <row r="30" spans="1:9" ht="20" customHeight="1" x14ac:dyDescent="0.2">
      <c r="A30" s="6">
        <f t="shared" si="0"/>
        <v>29</v>
      </c>
      <c r="B30" s="6" t="s">
        <v>76</v>
      </c>
      <c r="C30" s="7" t="s">
        <v>77</v>
      </c>
      <c r="D30" s="8">
        <v>45151</v>
      </c>
      <c r="E30" s="8">
        <v>45212</v>
      </c>
      <c r="F30" s="22">
        <v>509</v>
      </c>
      <c r="G30" s="22">
        <v>415</v>
      </c>
      <c r="H30" s="6" t="s">
        <v>118</v>
      </c>
      <c r="I30" s="6">
        <v>-14.58</v>
      </c>
    </row>
    <row r="31" spans="1:9" ht="20" customHeight="1" x14ac:dyDescent="0.2">
      <c r="A31" s="6">
        <f t="shared" si="0"/>
        <v>30</v>
      </c>
      <c r="B31" s="6" t="s">
        <v>78</v>
      </c>
      <c r="C31" s="7" t="s">
        <v>79</v>
      </c>
      <c r="D31" s="8">
        <v>45151</v>
      </c>
      <c r="E31" s="8">
        <v>45212</v>
      </c>
      <c r="F31" s="22">
        <v>280.5</v>
      </c>
      <c r="G31" s="22">
        <v>342.7</v>
      </c>
      <c r="H31" s="6" t="s">
        <v>118</v>
      </c>
      <c r="I31" s="6">
        <v>24.78</v>
      </c>
    </row>
    <row r="32" spans="1:9" ht="20" customHeight="1" x14ac:dyDescent="0.2">
      <c r="A32" s="6">
        <f t="shared" si="0"/>
        <v>31</v>
      </c>
      <c r="B32" s="6" t="s">
        <v>80</v>
      </c>
      <c r="C32" s="7" t="s">
        <v>81</v>
      </c>
      <c r="D32" s="8">
        <v>45151</v>
      </c>
      <c r="E32" s="8">
        <v>45212</v>
      </c>
      <c r="F32" s="22">
        <v>278.89999999999998</v>
      </c>
      <c r="G32" s="22">
        <v>313</v>
      </c>
      <c r="H32" s="6" t="s">
        <v>118</v>
      </c>
      <c r="I32" s="6">
        <v>15.49</v>
      </c>
    </row>
    <row r="33" spans="1:9" ht="20" customHeight="1" x14ac:dyDescent="0.2">
      <c r="A33" s="6">
        <f t="shared" si="0"/>
        <v>32</v>
      </c>
      <c r="B33" s="6" t="s">
        <v>82</v>
      </c>
      <c r="C33" s="7" t="s">
        <v>83</v>
      </c>
      <c r="D33" s="8">
        <v>45159</v>
      </c>
      <c r="E33" s="8">
        <v>45220</v>
      </c>
      <c r="F33" s="22">
        <v>526.9</v>
      </c>
      <c r="G33" s="22">
        <v>747</v>
      </c>
      <c r="H33" s="6" t="s">
        <v>118</v>
      </c>
      <c r="I33" s="6">
        <v>42.34</v>
      </c>
    </row>
    <row r="34" spans="1:9" ht="20" customHeight="1" x14ac:dyDescent="0.2">
      <c r="A34" s="6">
        <f t="shared" ref="A34:A65" si="1">ROW()-1</f>
        <v>33</v>
      </c>
      <c r="B34" s="6" t="s">
        <v>84</v>
      </c>
      <c r="C34" s="7" t="s">
        <v>85</v>
      </c>
      <c r="D34" s="8">
        <v>45186</v>
      </c>
      <c r="E34" s="8">
        <v>45247</v>
      </c>
      <c r="F34" s="22">
        <v>495</v>
      </c>
      <c r="G34" s="22">
        <v>420</v>
      </c>
      <c r="H34" s="6" t="s">
        <v>118</v>
      </c>
      <c r="I34" s="6">
        <v>-16.16</v>
      </c>
    </row>
    <row r="35" spans="1:9" ht="20" customHeight="1" x14ac:dyDescent="0.2">
      <c r="A35" s="6">
        <f t="shared" si="1"/>
        <v>34</v>
      </c>
      <c r="B35" s="6" t="s">
        <v>86</v>
      </c>
      <c r="C35" s="7" t="s">
        <v>87</v>
      </c>
      <c r="D35" s="8">
        <v>45190</v>
      </c>
      <c r="E35" s="8">
        <v>45251</v>
      </c>
      <c r="F35" s="22">
        <v>470</v>
      </c>
      <c r="G35" s="22">
        <v>433</v>
      </c>
      <c r="H35" s="6" t="s">
        <v>118</v>
      </c>
      <c r="I35" s="6">
        <v>-7.87</v>
      </c>
    </row>
    <row r="36" spans="1:9" ht="20" customHeight="1" x14ac:dyDescent="0.2">
      <c r="A36" s="6">
        <f t="shared" si="1"/>
        <v>35</v>
      </c>
      <c r="B36" s="6" t="s">
        <v>88</v>
      </c>
      <c r="C36" s="7" t="s">
        <v>89</v>
      </c>
      <c r="D36" s="8">
        <v>45194</v>
      </c>
      <c r="E36" s="8">
        <v>45255</v>
      </c>
      <c r="F36" s="22">
        <v>225</v>
      </c>
      <c r="G36" s="22">
        <v>204.6</v>
      </c>
      <c r="H36" s="6" t="s">
        <v>118</v>
      </c>
      <c r="I36" s="6">
        <v>-10.44</v>
      </c>
    </row>
    <row r="37" spans="1:9" ht="20" customHeight="1" x14ac:dyDescent="0.2">
      <c r="A37" s="6">
        <f t="shared" si="1"/>
        <v>36</v>
      </c>
      <c r="B37" s="6" t="s">
        <v>90</v>
      </c>
      <c r="C37" s="7" t="s">
        <v>91</v>
      </c>
      <c r="D37" s="8">
        <v>45194</v>
      </c>
      <c r="E37" s="8">
        <v>45255</v>
      </c>
      <c r="F37" s="22">
        <v>264</v>
      </c>
      <c r="G37" s="22">
        <v>241</v>
      </c>
      <c r="H37" s="6" t="s">
        <v>118</v>
      </c>
      <c r="I37" s="6">
        <v>-10.42</v>
      </c>
    </row>
    <row r="38" spans="1:9" ht="20" customHeight="1" x14ac:dyDescent="0.2">
      <c r="A38" s="6">
        <f t="shared" si="1"/>
        <v>37</v>
      </c>
      <c r="B38" s="6" t="s">
        <v>92</v>
      </c>
      <c r="C38" s="7" t="s">
        <v>93</v>
      </c>
      <c r="D38" s="8">
        <v>45200</v>
      </c>
      <c r="E38" s="8">
        <v>45261</v>
      </c>
      <c r="F38" s="22">
        <v>457.2</v>
      </c>
      <c r="G38" s="22">
        <v>440</v>
      </c>
      <c r="H38" s="6" t="s">
        <v>118</v>
      </c>
      <c r="I38" s="6">
        <v>-3.76</v>
      </c>
    </row>
    <row r="39" spans="1:9" ht="20" customHeight="1" x14ac:dyDescent="0.2">
      <c r="A39" s="6">
        <f t="shared" si="1"/>
        <v>38</v>
      </c>
      <c r="B39" s="6" t="s">
        <v>94</v>
      </c>
      <c r="C39" s="7" t="s">
        <v>95</v>
      </c>
      <c r="D39" s="8">
        <v>45210</v>
      </c>
      <c r="E39" s="8">
        <v>45271</v>
      </c>
      <c r="F39" s="22">
        <v>410.5</v>
      </c>
      <c r="G39" s="22">
        <v>513.5</v>
      </c>
      <c r="H39" s="6" t="s">
        <v>118</v>
      </c>
      <c r="I39" s="6">
        <v>27.53</v>
      </c>
    </row>
    <row r="40" spans="1:9" ht="20" customHeight="1" x14ac:dyDescent="0.2">
      <c r="A40" s="6">
        <f t="shared" si="1"/>
        <v>39</v>
      </c>
      <c r="B40" s="6" t="s">
        <v>96</v>
      </c>
      <c r="C40" s="7" t="s">
        <v>97</v>
      </c>
      <c r="D40" s="8">
        <v>45210</v>
      </c>
      <c r="E40" s="8">
        <v>45271</v>
      </c>
      <c r="F40" s="22">
        <v>313.7</v>
      </c>
      <c r="G40" s="22">
        <v>544</v>
      </c>
      <c r="H40" s="6" t="s">
        <v>118</v>
      </c>
      <c r="I40" s="6">
        <v>73.41</v>
      </c>
    </row>
    <row r="41" spans="1:9" ht="20" customHeight="1" x14ac:dyDescent="0.2">
      <c r="A41" s="6">
        <f t="shared" si="1"/>
        <v>40</v>
      </c>
      <c r="B41" s="6" t="s">
        <v>98</v>
      </c>
      <c r="C41" s="7" t="s">
        <v>99</v>
      </c>
      <c r="D41" s="8">
        <v>45211</v>
      </c>
      <c r="E41" s="8">
        <v>45272</v>
      </c>
      <c r="F41" s="22">
        <v>397.2</v>
      </c>
      <c r="G41" s="22">
        <v>477</v>
      </c>
      <c r="H41" s="6" t="s">
        <v>118</v>
      </c>
      <c r="I41" s="6">
        <v>20.09</v>
      </c>
    </row>
    <row r="42" spans="1:9" ht="20" customHeight="1" x14ac:dyDescent="0.2">
      <c r="A42" s="6">
        <f t="shared" si="1"/>
        <v>41</v>
      </c>
      <c r="B42" s="6" t="s">
        <v>100</v>
      </c>
      <c r="C42" s="7" t="s">
        <v>101</v>
      </c>
      <c r="D42" s="8">
        <v>45211</v>
      </c>
      <c r="E42" s="8">
        <v>45272</v>
      </c>
      <c r="F42" s="22">
        <v>330</v>
      </c>
      <c r="G42" s="22">
        <v>382</v>
      </c>
      <c r="H42" s="6" t="s">
        <v>118</v>
      </c>
      <c r="I42" s="6">
        <v>15.76</v>
      </c>
    </row>
    <row r="43" spans="1:9" ht="20" customHeight="1" x14ac:dyDescent="0.2">
      <c r="A43" s="6">
        <f t="shared" si="1"/>
        <v>42</v>
      </c>
      <c r="B43" s="6" t="s">
        <v>102</v>
      </c>
      <c r="C43" s="7" t="s">
        <v>103</v>
      </c>
      <c r="D43" s="8">
        <v>45228</v>
      </c>
      <c r="E43" s="8">
        <v>45289</v>
      </c>
      <c r="F43" s="22">
        <v>315</v>
      </c>
      <c r="G43" s="22">
        <v>456</v>
      </c>
      <c r="H43" s="6" t="s">
        <v>118</v>
      </c>
      <c r="I43" s="6">
        <v>44.16</v>
      </c>
    </row>
    <row r="44" spans="1:9" ht="20" customHeight="1" x14ac:dyDescent="0.2">
      <c r="A44" s="6">
        <f t="shared" si="1"/>
        <v>43</v>
      </c>
      <c r="B44" s="6" t="s">
        <v>104</v>
      </c>
      <c r="C44" s="7" t="s">
        <v>105</v>
      </c>
      <c r="D44" s="8">
        <v>45250</v>
      </c>
      <c r="E44" s="8">
        <v>45311</v>
      </c>
      <c r="F44" s="22">
        <v>259.60000000000002</v>
      </c>
      <c r="G44" s="22">
        <v>411</v>
      </c>
      <c r="H44" s="6" t="s">
        <v>118</v>
      </c>
      <c r="I44" s="6">
        <v>64.599999999999994</v>
      </c>
    </row>
    <row r="45" spans="1:9" ht="20" customHeight="1" x14ac:dyDescent="0.2">
      <c r="A45" s="6">
        <f t="shared" si="1"/>
        <v>44</v>
      </c>
      <c r="B45" s="6" t="s">
        <v>106</v>
      </c>
      <c r="C45" s="7" t="s">
        <v>107</v>
      </c>
      <c r="D45" s="8">
        <v>45267</v>
      </c>
      <c r="E45" s="8">
        <v>45329</v>
      </c>
      <c r="F45" s="22">
        <v>294.8</v>
      </c>
      <c r="G45" s="22">
        <v>546.9</v>
      </c>
      <c r="H45" s="6" t="s">
        <v>118</v>
      </c>
      <c r="I45" s="6">
        <v>85.52</v>
      </c>
    </row>
    <row r="46" spans="1:9" ht="20" customHeight="1" x14ac:dyDescent="0.2">
      <c r="A46" s="6">
        <f t="shared" si="1"/>
        <v>45</v>
      </c>
      <c r="B46" s="6" t="s">
        <v>108</v>
      </c>
      <c r="C46" s="7" t="s">
        <v>109</v>
      </c>
      <c r="D46" s="8">
        <v>45274</v>
      </c>
      <c r="E46" s="8">
        <v>45336</v>
      </c>
      <c r="F46" s="22">
        <v>196.6</v>
      </c>
      <c r="G46" s="22">
        <v>961</v>
      </c>
      <c r="H46" s="6" t="s">
        <v>118</v>
      </c>
      <c r="I46" s="6">
        <v>388.81</v>
      </c>
    </row>
    <row r="47" spans="1:9" ht="20" customHeight="1" x14ac:dyDescent="0.2">
      <c r="A47" s="6">
        <f t="shared" si="1"/>
        <v>46</v>
      </c>
      <c r="B47" s="6" t="s">
        <v>110</v>
      </c>
      <c r="C47" s="7" t="s">
        <v>111</v>
      </c>
      <c r="D47" s="8">
        <v>45281</v>
      </c>
      <c r="E47" s="8">
        <v>45343</v>
      </c>
      <c r="F47" s="22">
        <v>330</v>
      </c>
      <c r="G47" s="22">
        <v>551</v>
      </c>
      <c r="H47" s="6" t="s">
        <v>118</v>
      </c>
      <c r="I47" s="6">
        <v>66.97</v>
      </c>
    </row>
    <row r="48" spans="1:9" ht="20" customHeight="1" x14ac:dyDescent="0.2">
      <c r="A48" s="6">
        <f t="shared" si="1"/>
        <v>47</v>
      </c>
      <c r="B48" s="6" t="s">
        <v>112</v>
      </c>
      <c r="C48" s="7" t="s">
        <v>113</v>
      </c>
      <c r="D48" s="8">
        <v>45281</v>
      </c>
      <c r="E48" s="8">
        <v>45343</v>
      </c>
      <c r="F48" s="22">
        <v>229.6</v>
      </c>
      <c r="G48" s="22">
        <v>748.7</v>
      </c>
      <c r="H48" s="6" t="s">
        <v>118</v>
      </c>
      <c r="I48" s="6">
        <v>226.09</v>
      </c>
    </row>
    <row r="49" spans="1:9" ht="20" customHeight="1" x14ac:dyDescent="0.2">
      <c r="A49" s="6">
        <f t="shared" si="1"/>
        <v>48</v>
      </c>
      <c r="B49" s="6" t="s">
        <v>114</v>
      </c>
      <c r="C49" s="7" t="s">
        <v>115</v>
      </c>
      <c r="D49" s="8">
        <v>45281</v>
      </c>
      <c r="E49" s="8">
        <v>45343</v>
      </c>
      <c r="F49" s="22">
        <v>401.8</v>
      </c>
      <c r="G49" s="22">
        <v>533.1</v>
      </c>
      <c r="H49" s="6" t="s">
        <v>118</v>
      </c>
      <c r="I49" s="6">
        <v>32.68</v>
      </c>
    </row>
    <row r="50" spans="1:9" ht="20" customHeight="1" x14ac:dyDescent="0.2">
      <c r="A50" s="6">
        <f t="shared" si="1"/>
        <v>49</v>
      </c>
      <c r="B50" s="6" t="s">
        <v>116</v>
      </c>
      <c r="C50" s="7" t="s">
        <v>117</v>
      </c>
      <c r="D50" s="8">
        <v>45299</v>
      </c>
      <c r="E50" s="8">
        <v>45359</v>
      </c>
      <c r="F50" s="22">
        <v>340.1</v>
      </c>
      <c r="G50" s="22">
        <v>620</v>
      </c>
      <c r="H50" s="6" t="s">
        <v>118</v>
      </c>
      <c r="I50" s="6">
        <v>90.88</v>
      </c>
    </row>
    <row r="51" spans="1:9" ht="20" customHeight="1" x14ac:dyDescent="0.2">
      <c r="A51" s="6">
        <f t="shared" si="1"/>
        <v>50</v>
      </c>
      <c r="B51" s="6" t="s">
        <v>119</v>
      </c>
      <c r="C51" s="7" t="s">
        <v>120</v>
      </c>
      <c r="D51" s="8">
        <v>45370</v>
      </c>
      <c r="E51" s="8">
        <v>45431</v>
      </c>
      <c r="F51" s="22">
        <v>611.6</v>
      </c>
      <c r="G51" s="22">
        <v>830</v>
      </c>
      <c r="H51" s="6" t="s">
        <v>118</v>
      </c>
      <c r="I51" s="6">
        <v>38.159999999999997</v>
      </c>
    </row>
    <row r="52" spans="1:9" ht="20" customHeight="1" x14ac:dyDescent="0.2">
      <c r="A52" s="6">
        <f t="shared" si="1"/>
        <v>51</v>
      </c>
      <c r="B52" s="6" t="s">
        <v>121</v>
      </c>
      <c r="C52" s="7" t="s">
        <v>122</v>
      </c>
      <c r="D52" s="8">
        <v>45697</v>
      </c>
      <c r="E52" s="8">
        <v>45756</v>
      </c>
      <c r="F52" s="22">
        <v>331.1</v>
      </c>
      <c r="G52" s="22">
        <v>2564.5100000000002</v>
      </c>
      <c r="H52" s="6" t="s">
        <v>118</v>
      </c>
      <c r="I52" s="6">
        <v>674.54</v>
      </c>
    </row>
    <row r="53" spans="1:9" ht="20" customHeight="1" x14ac:dyDescent="0.2">
      <c r="A53" s="6">
        <f t="shared" si="1"/>
        <v>52</v>
      </c>
      <c r="B53" s="6" t="s">
        <v>123</v>
      </c>
      <c r="C53" s="7" t="s">
        <v>124</v>
      </c>
      <c r="D53" s="8">
        <v>45755</v>
      </c>
      <c r="E53" s="8">
        <v>45816</v>
      </c>
      <c r="F53" s="22">
        <v>332.5</v>
      </c>
      <c r="G53" s="22">
        <v>1595.79</v>
      </c>
      <c r="H53" s="6" t="s">
        <v>118</v>
      </c>
      <c r="I53" s="6">
        <v>379.94</v>
      </c>
    </row>
    <row r="54" spans="1:9" ht="20" customHeight="1" x14ac:dyDescent="0.2">
      <c r="A54" s="6">
        <f t="shared" si="1"/>
        <v>53</v>
      </c>
      <c r="B54" s="6" t="s">
        <v>125</v>
      </c>
      <c r="C54" s="7" t="s">
        <v>126</v>
      </c>
      <c r="D54" s="8">
        <v>45757</v>
      </c>
      <c r="E54" s="8">
        <v>45818</v>
      </c>
      <c r="F54" s="22">
        <v>332.7</v>
      </c>
      <c r="G54" s="22">
        <v>1625.46</v>
      </c>
      <c r="H54" s="6" t="s">
        <v>118</v>
      </c>
      <c r="I54" s="6">
        <v>388.57</v>
      </c>
    </row>
    <row r="55" spans="1:9" ht="20" customHeight="1" x14ac:dyDescent="0.2">
      <c r="A55" s="6">
        <f t="shared" si="1"/>
        <v>54</v>
      </c>
      <c r="B55" s="6" t="s">
        <v>127</v>
      </c>
      <c r="C55" s="7" t="s">
        <v>128</v>
      </c>
      <c r="D55" s="8">
        <v>45781</v>
      </c>
      <c r="E55" s="8">
        <v>45842</v>
      </c>
      <c r="F55" s="22">
        <v>297</v>
      </c>
      <c r="G55" s="22">
        <v>1356.24</v>
      </c>
      <c r="H55" s="6" t="s">
        <v>118</v>
      </c>
      <c r="I55" s="6">
        <v>359.25</v>
      </c>
    </row>
    <row r="56" spans="1:9" ht="20" customHeight="1" x14ac:dyDescent="0.2">
      <c r="A56" s="6">
        <f t="shared" si="1"/>
        <v>55</v>
      </c>
      <c r="B56" s="6" t="s">
        <v>129</v>
      </c>
      <c r="C56" s="7" t="s">
        <v>130</v>
      </c>
      <c r="D56" s="8">
        <v>45804</v>
      </c>
      <c r="E56" s="8">
        <v>45865</v>
      </c>
      <c r="F56" s="22">
        <v>318.2</v>
      </c>
      <c r="G56" s="22">
        <v>901.53</v>
      </c>
      <c r="H56" s="6" t="s">
        <v>118</v>
      </c>
      <c r="I56" s="6">
        <v>183.32</v>
      </c>
    </row>
    <row r="57" spans="1:9" ht="20" customHeight="1" x14ac:dyDescent="0.2">
      <c r="A57" s="6">
        <f t="shared" si="1"/>
        <v>56</v>
      </c>
      <c r="B57" s="6" t="s">
        <v>131</v>
      </c>
      <c r="C57" s="7" t="s">
        <v>132</v>
      </c>
      <c r="D57" s="8">
        <v>45855</v>
      </c>
      <c r="E57" s="8">
        <v>45917</v>
      </c>
      <c r="F57" s="22">
        <v>402.7</v>
      </c>
      <c r="G57" s="22">
        <v>692.4</v>
      </c>
      <c r="H57" s="6" t="s">
        <v>118</v>
      </c>
      <c r="I57" s="6">
        <v>91.04</v>
      </c>
    </row>
    <row r="58" spans="1:9" ht="20" customHeight="1" x14ac:dyDescent="0.2">
      <c r="A58" s="6">
        <f t="shared" si="1"/>
        <v>57</v>
      </c>
      <c r="B58" s="6" t="s">
        <v>133</v>
      </c>
      <c r="C58" s="7" t="s">
        <v>134</v>
      </c>
      <c r="D58" s="8">
        <v>45858</v>
      </c>
      <c r="E58" s="8">
        <v>45920</v>
      </c>
      <c r="F58" s="22">
        <v>394.9</v>
      </c>
      <c r="G58" s="22">
        <v>588.71</v>
      </c>
      <c r="H58" s="6" t="s">
        <v>118</v>
      </c>
      <c r="I58" s="6">
        <v>37.76</v>
      </c>
    </row>
    <row r="59" spans="1:9" ht="20" customHeight="1" x14ac:dyDescent="0.2">
      <c r="A59" s="6">
        <f t="shared" si="1"/>
        <v>58</v>
      </c>
      <c r="B59" s="6" t="s">
        <v>135</v>
      </c>
      <c r="C59" s="7" t="s">
        <v>136</v>
      </c>
      <c r="D59" s="8">
        <v>45889</v>
      </c>
      <c r="E59" s="8">
        <v>45950</v>
      </c>
      <c r="F59" s="22">
        <v>321.3</v>
      </c>
      <c r="G59" s="22">
        <v>402</v>
      </c>
      <c r="H59" s="6" t="s">
        <v>118</v>
      </c>
      <c r="I59" s="6">
        <v>26.95</v>
      </c>
    </row>
    <row r="60" spans="1:9" ht="20" customHeight="1" x14ac:dyDescent="0.2">
      <c r="A60" s="6">
        <f t="shared" si="1"/>
        <v>59</v>
      </c>
      <c r="B60" s="6" t="s">
        <v>137</v>
      </c>
      <c r="C60" s="7" t="s">
        <v>138</v>
      </c>
      <c r="D60" s="8">
        <v>45901</v>
      </c>
      <c r="E60" s="8">
        <v>45962</v>
      </c>
      <c r="F60" s="22">
        <v>267.5</v>
      </c>
      <c r="G60" s="22">
        <v>646</v>
      </c>
      <c r="H60" s="6" t="s">
        <v>118</v>
      </c>
      <c r="I60" s="6">
        <v>129.91</v>
      </c>
    </row>
    <row r="61" spans="1:9" ht="20" customHeight="1" x14ac:dyDescent="0.2">
      <c r="A61" s="6">
        <f t="shared" si="1"/>
        <v>60</v>
      </c>
      <c r="B61" s="6" t="s">
        <v>139</v>
      </c>
      <c r="C61" s="7" t="s">
        <v>140</v>
      </c>
      <c r="D61" s="8">
        <v>45965</v>
      </c>
      <c r="E61" s="8">
        <v>46026</v>
      </c>
      <c r="F61" s="22">
        <v>349.4</v>
      </c>
      <c r="G61" s="22">
        <v>750</v>
      </c>
      <c r="H61" s="6" t="s">
        <v>118</v>
      </c>
      <c r="I61" s="6">
        <v>114.65</v>
      </c>
    </row>
    <row r="62" spans="1:9" ht="20" customHeight="1" x14ac:dyDescent="0.2">
      <c r="A62" s="6">
        <f t="shared" si="1"/>
        <v>61</v>
      </c>
      <c r="B62" s="6" t="s">
        <v>141</v>
      </c>
      <c r="C62" s="7" t="s">
        <v>142</v>
      </c>
      <c r="D62" s="8">
        <v>45967</v>
      </c>
      <c r="E62" s="8">
        <v>46028</v>
      </c>
      <c r="F62" s="22">
        <v>442.4</v>
      </c>
      <c r="G62" s="22">
        <v>654</v>
      </c>
      <c r="H62" s="6" t="s">
        <v>118</v>
      </c>
      <c r="I62" s="6">
        <v>47.83</v>
      </c>
    </row>
    <row r="63" spans="1:9" ht="20" customHeight="1" x14ac:dyDescent="0.2">
      <c r="A63" s="6">
        <f t="shared" si="1"/>
        <v>62</v>
      </c>
      <c r="B63" s="6" t="s">
        <v>143</v>
      </c>
      <c r="C63" s="7" t="s">
        <v>144</v>
      </c>
      <c r="D63" s="8">
        <v>45970</v>
      </c>
      <c r="E63" s="8">
        <v>46031</v>
      </c>
      <c r="F63" s="22">
        <v>351.4</v>
      </c>
      <c r="G63" s="22">
        <v>2001</v>
      </c>
      <c r="H63" s="6" t="s">
        <v>118</v>
      </c>
      <c r="I63" s="6">
        <v>463.46</v>
      </c>
    </row>
    <row r="64" spans="1:9" ht="20" customHeight="1" x14ac:dyDescent="0.2">
      <c r="A64" s="6">
        <f t="shared" si="1"/>
        <v>63</v>
      </c>
      <c r="B64" s="6" t="s">
        <v>145</v>
      </c>
      <c r="C64" s="7" t="s">
        <v>146</v>
      </c>
      <c r="D64" s="8">
        <v>45971</v>
      </c>
      <c r="E64" s="8">
        <v>46032</v>
      </c>
      <c r="F64" s="22">
        <v>332.6</v>
      </c>
      <c r="G64" s="22">
        <v>672</v>
      </c>
      <c r="H64" s="6" t="s">
        <v>118</v>
      </c>
      <c r="I64" s="6">
        <v>91.67</v>
      </c>
    </row>
    <row r="65" spans="1:9" ht="20" customHeight="1" x14ac:dyDescent="0.2">
      <c r="A65" s="6">
        <f t="shared" si="1"/>
        <v>64</v>
      </c>
      <c r="B65" s="6" t="s">
        <v>147</v>
      </c>
      <c r="C65" s="7" t="s">
        <v>148</v>
      </c>
      <c r="D65" s="8">
        <v>45972</v>
      </c>
      <c r="E65" s="8">
        <v>46033</v>
      </c>
      <c r="F65" s="22">
        <v>313.5</v>
      </c>
      <c r="G65" s="22">
        <v>864</v>
      </c>
      <c r="H65" s="6" t="s">
        <v>118</v>
      </c>
      <c r="I65" s="6">
        <v>165.71</v>
      </c>
    </row>
    <row r="66" spans="1:9" ht="20" customHeight="1" x14ac:dyDescent="0.2">
      <c r="A66" s="6">
        <f t="shared" ref="A66:A71" si="2">ROW()-1</f>
        <v>65</v>
      </c>
      <c r="B66" s="6" t="s">
        <v>149</v>
      </c>
      <c r="C66" s="7" t="s">
        <v>150</v>
      </c>
      <c r="D66" s="8">
        <v>45972</v>
      </c>
      <c r="E66" s="8">
        <v>46033</v>
      </c>
      <c r="F66" s="22">
        <v>407.4</v>
      </c>
      <c r="G66" s="22">
        <v>2885</v>
      </c>
      <c r="H66" s="6" t="s">
        <v>118</v>
      </c>
      <c r="I66" s="6">
        <v>608.39</v>
      </c>
    </row>
    <row r="67" spans="1:9" ht="20" customHeight="1" x14ac:dyDescent="0.2">
      <c r="A67" s="6">
        <f t="shared" si="2"/>
        <v>66</v>
      </c>
      <c r="B67" s="6" t="s">
        <v>151</v>
      </c>
      <c r="C67" s="7" t="s">
        <v>152</v>
      </c>
      <c r="D67" s="8">
        <v>45977</v>
      </c>
      <c r="E67" s="8">
        <v>46038</v>
      </c>
      <c r="F67" s="22">
        <v>311.2</v>
      </c>
      <c r="G67" s="22">
        <v>1444</v>
      </c>
      <c r="H67" s="6" t="s">
        <v>118</v>
      </c>
      <c r="I67" s="6">
        <v>356.94</v>
      </c>
    </row>
    <row r="68" spans="1:9" ht="20" customHeight="1" x14ac:dyDescent="0.2">
      <c r="A68" s="6">
        <f t="shared" si="2"/>
        <v>67</v>
      </c>
      <c r="B68" s="6" t="s">
        <v>153</v>
      </c>
      <c r="C68" s="7" t="s">
        <v>154</v>
      </c>
      <c r="D68" s="8">
        <v>45985</v>
      </c>
      <c r="E68" s="8">
        <v>46046</v>
      </c>
      <c r="F68" s="22">
        <v>331.8</v>
      </c>
      <c r="G68" s="22">
        <v>1537.9</v>
      </c>
      <c r="H68" s="6" t="s">
        <v>118</v>
      </c>
      <c r="I68" s="6">
        <v>321.37</v>
      </c>
    </row>
    <row r="69" spans="1:9" ht="20" customHeight="1" x14ac:dyDescent="0.2">
      <c r="A69" s="6">
        <f t="shared" si="2"/>
        <v>68</v>
      </c>
      <c r="B69" s="6" t="s">
        <v>155</v>
      </c>
      <c r="C69" s="7" t="s">
        <v>156</v>
      </c>
      <c r="D69" s="8">
        <v>46001</v>
      </c>
      <c r="E69" s="8">
        <v>46063</v>
      </c>
      <c r="F69" s="22">
        <v>351.7</v>
      </c>
      <c r="G69" s="22">
        <v>1933</v>
      </c>
      <c r="H69" s="6" t="s">
        <v>118</v>
      </c>
      <c r="I69" s="6">
        <v>449.62</v>
      </c>
    </row>
    <row r="70" spans="1:9" ht="20" customHeight="1" x14ac:dyDescent="0.2">
      <c r="A70" s="6">
        <f t="shared" si="2"/>
        <v>69</v>
      </c>
      <c r="B70" s="6" t="s">
        <v>157</v>
      </c>
      <c r="C70" s="6" t="s">
        <v>157</v>
      </c>
      <c r="D70" s="8">
        <v>46069</v>
      </c>
      <c r="E70" s="8">
        <v>46128</v>
      </c>
      <c r="F70" s="22">
        <v>330</v>
      </c>
      <c r="G70" s="22">
        <v>361.8</v>
      </c>
      <c r="H70" s="6" t="s">
        <v>118</v>
      </c>
      <c r="I70" s="6">
        <v>9.64</v>
      </c>
    </row>
    <row r="71" spans="1:9" ht="20" customHeight="1" x14ac:dyDescent="0.2">
      <c r="A71" s="6">
        <f t="shared" si="2"/>
        <v>70</v>
      </c>
      <c r="B71" s="6" t="s">
        <v>158</v>
      </c>
      <c r="C71" s="7" t="s">
        <v>159</v>
      </c>
      <c r="D71" s="8">
        <v>46069</v>
      </c>
      <c r="E71" s="8">
        <v>46128</v>
      </c>
      <c r="F71" s="22">
        <v>330</v>
      </c>
      <c r="G71" s="22">
        <v>1517</v>
      </c>
      <c r="H71" s="37" t="s">
        <v>118</v>
      </c>
      <c r="I71" s="37">
        <v>359.7</v>
      </c>
    </row>
    <row r="72" spans="1:9" x14ac:dyDescent="0.2">
      <c r="A72" s="1"/>
      <c r="B72" s="1"/>
      <c r="C72" s="1"/>
      <c r="D72" s="1"/>
      <c r="E72" s="5"/>
      <c r="F72" s="5"/>
      <c r="G72" s="36"/>
      <c r="H72" s="32" t="s">
        <v>160</v>
      </c>
      <c r="I72" s="35">
        <f>AVERAGE(I2:I71)</f>
        <v>119.11185714285712</v>
      </c>
    </row>
    <row r="73" spans="1:9" x14ac:dyDescent="0.2">
      <c r="H73" s="32" t="s">
        <v>161</v>
      </c>
      <c r="I73" s="32">
        <f>((1+I72/100)^(365/60)-1)*100</f>
        <v>11713.650066987075</v>
      </c>
    </row>
    <row r="74" spans="1:9" x14ac:dyDescent="0.2">
      <c r="H74" s="32" t="s">
        <v>166</v>
      </c>
      <c r="I74" s="34">
        <f>MEDIAN(I2:I71)</f>
        <v>40.615000000000002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4"/>
  <sheetViews>
    <sheetView topLeftCell="A56" zoomScale="140" zoomScaleNormal="140" workbookViewId="0">
      <selection activeCell="H72" sqref="H72:I74"/>
    </sheetView>
  </sheetViews>
  <sheetFormatPr baseColWidth="10" defaultRowHeight="16" x14ac:dyDescent="0.2"/>
  <cols>
    <col min="1" max="1" width="4.1640625" bestFit="1" customWidth="1"/>
    <col min="3" max="3" width="44" bestFit="1" customWidth="1"/>
    <col min="4" max="4" width="12.1640625" customWidth="1"/>
    <col min="5" max="5" width="14" customWidth="1"/>
    <col min="6" max="6" width="15" bestFit="1" customWidth="1"/>
    <col min="7" max="7" width="12" bestFit="1" customWidth="1"/>
    <col min="8" max="8" width="12.5" bestFit="1" customWidth="1"/>
    <col min="9" max="9" width="12.83203125" bestFit="1" customWidth="1"/>
  </cols>
  <sheetData>
    <row r="1" spans="1:9" ht="3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168</v>
      </c>
      <c r="G1" s="1" t="s">
        <v>169</v>
      </c>
      <c r="H1" s="1" t="s">
        <v>1</v>
      </c>
      <c r="I1" s="5" t="s">
        <v>18</v>
      </c>
    </row>
    <row r="2" spans="1:9" ht="20" customHeight="1" x14ac:dyDescent="0.2">
      <c r="A2" s="2">
        <f t="shared" ref="A2:A33" si="0">ROW()-1</f>
        <v>1</v>
      </c>
      <c r="B2" s="2" t="s">
        <v>19</v>
      </c>
      <c r="C2" s="3" t="s">
        <v>20</v>
      </c>
      <c r="D2" s="4">
        <v>44850</v>
      </c>
      <c r="E2" s="4">
        <v>44973</v>
      </c>
      <c r="F2" s="23">
        <v>255.7</v>
      </c>
      <c r="G2" s="23">
        <v>297</v>
      </c>
      <c r="H2" s="2">
        <v>0.34</v>
      </c>
      <c r="I2" s="2">
        <v>16.149999999999999</v>
      </c>
    </row>
    <row r="3" spans="1:9" ht="20" customHeight="1" x14ac:dyDescent="0.2">
      <c r="A3" s="2">
        <f t="shared" si="0"/>
        <v>2</v>
      </c>
      <c r="B3" s="2" t="s">
        <v>22</v>
      </c>
      <c r="C3" s="3" t="s">
        <v>23</v>
      </c>
      <c r="D3" s="4">
        <v>44851</v>
      </c>
      <c r="E3" s="4">
        <v>44974</v>
      </c>
      <c r="F3" s="23">
        <v>214.2</v>
      </c>
      <c r="G3" s="23">
        <v>470</v>
      </c>
      <c r="H3" s="2">
        <v>0.33</v>
      </c>
      <c r="I3" s="2">
        <v>124.09</v>
      </c>
    </row>
    <row r="4" spans="1:9" ht="20" customHeight="1" x14ac:dyDescent="0.2">
      <c r="A4" s="2">
        <f t="shared" si="0"/>
        <v>3</v>
      </c>
      <c r="B4" s="2" t="s">
        <v>24</v>
      </c>
      <c r="C4" s="3" t="s">
        <v>25</v>
      </c>
      <c r="D4" s="4">
        <v>44880</v>
      </c>
      <c r="E4" s="4">
        <v>45000</v>
      </c>
      <c r="F4" s="23">
        <v>321</v>
      </c>
      <c r="G4" s="23">
        <v>449</v>
      </c>
      <c r="H4" s="2">
        <v>0.33</v>
      </c>
      <c r="I4" s="2">
        <v>39.880000000000003</v>
      </c>
    </row>
    <row r="5" spans="1:9" ht="20" customHeight="1" x14ac:dyDescent="0.2">
      <c r="A5" s="2">
        <f t="shared" si="0"/>
        <v>4</v>
      </c>
      <c r="B5" s="2" t="s">
        <v>26</v>
      </c>
      <c r="C5" s="3" t="s">
        <v>27</v>
      </c>
      <c r="D5" s="4">
        <v>44909</v>
      </c>
      <c r="E5" s="4">
        <v>45030</v>
      </c>
      <c r="F5" s="23">
        <v>237.6</v>
      </c>
      <c r="G5" s="23">
        <v>415</v>
      </c>
      <c r="H5" s="2">
        <v>0.33</v>
      </c>
      <c r="I5" s="2">
        <v>74.069999999999993</v>
      </c>
    </row>
    <row r="6" spans="1:9" ht="20" customHeight="1" x14ac:dyDescent="0.2">
      <c r="A6" s="2">
        <f t="shared" si="0"/>
        <v>5</v>
      </c>
      <c r="B6" s="2" t="s">
        <v>28</v>
      </c>
      <c r="C6" s="3" t="s">
        <v>29</v>
      </c>
      <c r="D6" s="4">
        <v>44909</v>
      </c>
      <c r="E6" s="4">
        <v>45030</v>
      </c>
      <c r="F6" s="23">
        <v>270</v>
      </c>
      <c r="G6" s="23">
        <v>334</v>
      </c>
      <c r="H6" s="2">
        <v>0.33</v>
      </c>
      <c r="I6" s="2">
        <v>24.78</v>
      </c>
    </row>
    <row r="7" spans="1:9" ht="20" customHeight="1" x14ac:dyDescent="0.2">
      <c r="A7" s="2">
        <f t="shared" si="0"/>
        <v>6</v>
      </c>
      <c r="B7" s="2" t="s">
        <v>30</v>
      </c>
      <c r="C7" s="3" t="s">
        <v>31</v>
      </c>
      <c r="D7" s="4">
        <v>44915</v>
      </c>
      <c r="E7" s="4">
        <v>45036</v>
      </c>
      <c r="F7" s="23">
        <v>996.6</v>
      </c>
      <c r="G7" s="23">
        <v>1214</v>
      </c>
      <c r="H7" s="2">
        <v>0.33</v>
      </c>
      <c r="I7" s="2">
        <v>21.81</v>
      </c>
    </row>
    <row r="8" spans="1:9" ht="20" customHeight="1" x14ac:dyDescent="0.2">
      <c r="A8" s="2">
        <f t="shared" si="0"/>
        <v>7</v>
      </c>
      <c r="B8" s="2" t="s">
        <v>32</v>
      </c>
      <c r="C8" s="3" t="s">
        <v>33</v>
      </c>
      <c r="D8" s="4">
        <v>44930</v>
      </c>
      <c r="E8" s="4">
        <v>45050</v>
      </c>
      <c r="F8" s="23">
        <v>213.7</v>
      </c>
      <c r="G8" s="23">
        <v>441</v>
      </c>
      <c r="H8" s="2">
        <v>0.33</v>
      </c>
      <c r="I8" s="2">
        <v>106.36</v>
      </c>
    </row>
    <row r="9" spans="1:9" ht="20" customHeight="1" x14ac:dyDescent="0.2">
      <c r="A9" s="2">
        <f t="shared" si="0"/>
        <v>8</v>
      </c>
      <c r="B9" s="2" t="s">
        <v>34</v>
      </c>
      <c r="C9" s="3" t="s">
        <v>35</v>
      </c>
      <c r="D9" s="4">
        <v>44990</v>
      </c>
      <c r="E9" s="4">
        <v>45112</v>
      </c>
      <c r="F9" s="23">
        <v>328.9</v>
      </c>
      <c r="G9" s="23">
        <v>406.9</v>
      </c>
      <c r="H9" s="2">
        <v>0.33</v>
      </c>
      <c r="I9" s="2">
        <v>23.72</v>
      </c>
    </row>
    <row r="10" spans="1:9" ht="20" customHeight="1" x14ac:dyDescent="0.2">
      <c r="A10" s="2">
        <f t="shared" si="0"/>
        <v>9</v>
      </c>
      <c r="B10" s="2" t="s">
        <v>36</v>
      </c>
      <c r="C10" s="3" t="s">
        <v>37</v>
      </c>
      <c r="D10" s="4">
        <v>44992</v>
      </c>
      <c r="E10" s="4">
        <v>45114</v>
      </c>
      <c r="F10" s="23">
        <v>291.5</v>
      </c>
      <c r="G10" s="23">
        <v>765</v>
      </c>
      <c r="H10" s="2">
        <v>0.33</v>
      </c>
      <c r="I10" s="2">
        <v>162.30000000000001</v>
      </c>
    </row>
    <row r="11" spans="1:9" ht="20" customHeight="1" x14ac:dyDescent="0.2">
      <c r="A11" s="2">
        <f t="shared" si="0"/>
        <v>10</v>
      </c>
      <c r="B11" s="2" t="s">
        <v>38</v>
      </c>
      <c r="C11" s="3" t="s">
        <v>39</v>
      </c>
      <c r="D11" s="4">
        <v>45007</v>
      </c>
      <c r="E11" s="4">
        <v>45129</v>
      </c>
      <c r="F11" s="23">
        <v>292</v>
      </c>
      <c r="G11" s="23">
        <v>239.9</v>
      </c>
      <c r="H11" s="2">
        <v>0.33</v>
      </c>
      <c r="I11" s="2">
        <v>-19.25</v>
      </c>
    </row>
    <row r="12" spans="1:9" ht="20" customHeight="1" x14ac:dyDescent="0.2">
      <c r="A12" s="2">
        <f t="shared" si="0"/>
        <v>11</v>
      </c>
      <c r="B12" s="2" t="s">
        <v>40</v>
      </c>
      <c r="C12" s="3" t="s">
        <v>41</v>
      </c>
      <c r="D12" s="4">
        <v>45008</v>
      </c>
      <c r="E12" s="4">
        <v>45130</v>
      </c>
      <c r="F12" s="23">
        <v>328.6</v>
      </c>
      <c r="G12" s="23">
        <v>345</v>
      </c>
      <c r="H12" s="2">
        <v>0.33</v>
      </c>
      <c r="I12" s="2">
        <v>4.99</v>
      </c>
    </row>
    <row r="13" spans="1:9" ht="20" customHeight="1" x14ac:dyDescent="0.2">
      <c r="A13" s="2">
        <f t="shared" si="0"/>
        <v>12</v>
      </c>
      <c r="B13" s="2" t="s">
        <v>42</v>
      </c>
      <c r="C13" s="3" t="s">
        <v>43</v>
      </c>
      <c r="D13" s="4">
        <v>45008</v>
      </c>
      <c r="E13" s="4">
        <v>45130</v>
      </c>
      <c r="F13" s="23">
        <v>139.69999999999999</v>
      </c>
      <c r="G13" s="23">
        <v>1029.9000000000001</v>
      </c>
      <c r="H13" s="2">
        <v>0.33</v>
      </c>
      <c r="I13" s="2">
        <v>637.22</v>
      </c>
    </row>
    <row r="14" spans="1:9" ht="20" customHeight="1" x14ac:dyDescent="0.2">
      <c r="A14" s="2">
        <f t="shared" si="0"/>
        <v>13</v>
      </c>
      <c r="B14" s="2" t="s">
        <v>44</v>
      </c>
      <c r="C14" s="3" t="s">
        <v>45</v>
      </c>
      <c r="D14" s="4">
        <v>45012</v>
      </c>
      <c r="E14" s="4">
        <v>45134</v>
      </c>
      <c r="F14" s="23">
        <v>430.1</v>
      </c>
      <c r="G14" s="23">
        <v>599</v>
      </c>
      <c r="H14" s="2">
        <v>0.33</v>
      </c>
      <c r="I14" s="2">
        <v>39.270000000000003</v>
      </c>
    </row>
    <row r="15" spans="1:9" ht="20" customHeight="1" x14ac:dyDescent="0.2">
      <c r="A15" s="2">
        <f t="shared" si="0"/>
        <v>14</v>
      </c>
      <c r="B15" s="2" t="s">
        <v>46</v>
      </c>
      <c r="C15" s="3" t="s">
        <v>47</v>
      </c>
      <c r="D15" s="4">
        <v>45026</v>
      </c>
      <c r="E15" s="4">
        <v>45148</v>
      </c>
      <c r="F15" s="23">
        <v>324.5</v>
      </c>
      <c r="G15" s="23">
        <v>266.8</v>
      </c>
      <c r="H15" s="2">
        <v>0.33</v>
      </c>
      <c r="I15" s="2">
        <v>-17.78</v>
      </c>
    </row>
    <row r="16" spans="1:9" ht="20" customHeight="1" x14ac:dyDescent="0.2">
      <c r="A16" s="2">
        <f t="shared" si="0"/>
        <v>15</v>
      </c>
      <c r="B16" s="2" t="s">
        <v>48</v>
      </c>
      <c r="C16" s="3" t="s">
        <v>49</v>
      </c>
      <c r="D16" s="4">
        <v>45029</v>
      </c>
      <c r="E16" s="4">
        <v>45151</v>
      </c>
      <c r="F16" s="23">
        <v>155.1</v>
      </c>
      <c r="G16" s="23">
        <v>192</v>
      </c>
      <c r="H16" s="2">
        <v>0.33</v>
      </c>
      <c r="I16" s="2">
        <v>23.79</v>
      </c>
    </row>
    <row r="17" spans="1:9" ht="20" customHeight="1" x14ac:dyDescent="0.2">
      <c r="A17" s="2">
        <f t="shared" si="0"/>
        <v>16</v>
      </c>
      <c r="B17" s="2" t="s">
        <v>50</v>
      </c>
      <c r="C17" s="3" t="s">
        <v>51</v>
      </c>
      <c r="D17" s="4">
        <v>45029</v>
      </c>
      <c r="E17" s="4">
        <v>45151</v>
      </c>
      <c r="F17" s="23">
        <v>340</v>
      </c>
      <c r="G17" s="23">
        <v>259</v>
      </c>
      <c r="H17" s="2">
        <v>0.33</v>
      </c>
      <c r="I17" s="2">
        <v>-23.82</v>
      </c>
    </row>
    <row r="18" spans="1:9" ht="20" customHeight="1" x14ac:dyDescent="0.2">
      <c r="A18" s="2">
        <f t="shared" si="0"/>
        <v>17</v>
      </c>
      <c r="B18" s="2" t="s">
        <v>52</v>
      </c>
      <c r="C18" s="3" t="s">
        <v>53</v>
      </c>
      <c r="D18" s="4">
        <v>45048</v>
      </c>
      <c r="E18" s="4">
        <v>45171</v>
      </c>
      <c r="F18" s="23">
        <v>436.9</v>
      </c>
      <c r="G18" s="23">
        <v>2026</v>
      </c>
      <c r="H18" s="2">
        <v>0.33</v>
      </c>
      <c r="I18" s="2">
        <v>368.07</v>
      </c>
    </row>
    <row r="19" spans="1:9" ht="20" customHeight="1" x14ac:dyDescent="0.2">
      <c r="A19" s="2">
        <f t="shared" si="0"/>
        <v>18</v>
      </c>
      <c r="B19" s="2" t="s">
        <v>54</v>
      </c>
      <c r="C19" s="3" t="s">
        <v>55</v>
      </c>
      <c r="D19" s="4">
        <v>45053</v>
      </c>
      <c r="E19" s="4">
        <v>45176</v>
      </c>
      <c r="F19" s="23">
        <v>255</v>
      </c>
      <c r="G19" s="23">
        <v>226.8</v>
      </c>
      <c r="H19" s="2">
        <v>0.34</v>
      </c>
      <c r="I19" s="2">
        <v>-11.06</v>
      </c>
    </row>
    <row r="20" spans="1:9" ht="20" customHeight="1" x14ac:dyDescent="0.2">
      <c r="A20" s="2">
        <f t="shared" si="0"/>
        <v>19</v>
      </c>
      <c r="B20" s="2" t="s">
        <v>56</v>
      </c>
      <c r="C20" s="3" t="s">
        <v>57</v>
      </c>
      <c r="D20" s="4">
        <v>45062</v>
      </c>
      <c r="E20" s="4">
        <v>45185</v>
      </c>
      <c r="F20" s="23">
        <v>301.5</v>
      </c>
      <c r="G20" s="23">
        <v>245</v>
      </c>
      <c r="H20" s="2">
        <v>0.33</v>
      </c>
      <c r="I20" s="2">
        <v>-13.76</v>
      </c>
    </row>
    <row r="21" spans="1:9" ht="20" customHeight="1" x14ac:dyDescent="0.2">
      <c r="A21" s="2">
        <f t="shared" si="0"/>
        <v>20</v>
      </c>
      <c r="B21" s="2" t="s">
        <v>58</v>
      </c>
      <c r="C21" s="3" t="s">
        <v>59</v>
      </c>
      <c r="D21" s="4">
        <v>45085</v>
      </c>
      <c r="E21" s="4">
        <v>45207</v>
      </c>
      <c r="F21" s="23">
        <v>223</v>
      </c>
      <c r="G21" s="23">
        <v>212.9</v>
      </c>
      <c r="H21" s="2">
        <v>0.33</v>
      </c>
      <c r="I21" s="2">
        <v>-4.53</v>
      </c>
    </row>
    <row r="22" spans="1:9" ht="20" customHeight="1" x14ac:dyDescent="0.2">
      <c r="A22" s="2">
        <f t="shared" si="0"/>
        <v>21</v>
      </c>
      <c r="B22" s="2" t="s">
        <v>60</v>
      </c>
      <c r="C22" s="3" t="s">
        <v>61</v>
      </c>
      <c r="D22" s="4">
        <v>45085</v>
      </c>
      <c r="E22" s="4">
        <v>45207</v>
      </c>
      <c r="F22" s="23">
        <v>287.10000000000002</v>
      </c>
      <c r="G22" s="23">
        <v>217.7</v>
      </c>
      <c r="H22" s="2">
        <v>0.33</v>
      </c>
      <c r="I22" s="2">
        <v>-24.17</v>
      </c>
    </row>
    <row r="23" spans="1:9" ht="20" customHeight="1" x14ac:dyDescent="0.2">
      <c r="A23" s="2">
        <f t="shared" si="0"/>
        <v>22</v>
      </c>
      <c r="B23" s="2" t="s">
        <v>62</v>
      </c>
      <c r="C23" s="3" t="s">
        <v>63</v>
      </c>
      <c r="D23" s="4">
        <v>45088</v>
      </c>
      <c r="E23" s="4">
        <v>45210</v>
      </c>
      <c r="F23" s="23">
        <v>122.2</v>
      </c>
      <c r="G23" s="23">
        <v>643.5</v>
      </c>
      <c r="H23" s="2">
        <v>0.33</v>
      </c>
      <c r="I23" s="2">
        <v>426.6</v>
      </c>
    </row>
    <row r="24" spans="1:9" ht="20" customHeight="1" x14ac:dyDescent="0.2">
      <c r="A24" s="2">
        <f t="shared" si="0"/>
        <v>23</v>
      </c>
      <c r="B24" s="2" t="s">
        <v>64</v>
      </c>
      <c r="C24" s="3" t="s">
        <v>65</v>
      </c>
      <c r="D24" s="4">
        <v>45095</v>
      </c>
      <c r="E24" s="4">
        <v>45217</v>
      </c>
      <c r="F24" s="23">
        <v>255.2</v>
      </c>
      <c r="G24" s="23">
        <v>240</v>
      </c>
      <c r="H24" s="2">
        <v>0.33</v>
      </c>
      <c r="I24" s="2">
        <v>-5.96</v>
      </c>
    </row>
    <row r="25" spans="1:9" ht="20" customHeight="1" x14ac:dyDescent="0.2">
      <c r="A25" s="2">
        <f t="shared" si="0"/>
        <v>24</v>
      </c>
      <c r="B25" s="2" t="s">
        <v>66</v>
      </c>
      <c r="C25" s="3" t="s">
        <v>67</v>
      </c>
      <c r="D25" s="4">
        <v>45097</v>
      </c>
      <c r="E25" s="4">
        <v>45219</v>
      </c>
      <c r="F25" s="23">
        <v>320.89999999999998</v>
      </c>
      <c r="G25" s="23">
        <v>230.9</v>
      </c>
      <c r="H25" s="2">
        <v>0.33</v>
      </c>
      <c r="I25" s="2">
        <v>-24</v>
      </c>
    </row>
    <row r="26" spans="1:9" ht="20" customHeight="1" x14ac:dyDescent="0.2">
      <c r="A26" s="2">
        <f t="shared" si="0"/>
        <v>25</v>
      </c>
      <c r="B26" s="2" t="s">
        <v>68</v>
      </c>
      <c r="C26" s="3" t="s">
        <v>69</v>
      </c>
      <c r="D26" s="4">
        <v>45112</v>
      </c>
      <c r="E26" s="4">
        <v>45235</v>
      </c>
      <c r="F26" s="23">
        <v>243</v>
      </c>
      <c r="G26" s="23">
        <v>153</v>
      </c>
      <c r="H26" s="2">
        <v>0.34</v>
      </c>
      <c r="I26" s="2">
        <v>-37.04</v>
      </c>
    </row>
    <row r="27" spans="1:9" ht="20" customHeight="1" x14ac:dyDescent="0.2">
      <c r="A27" s="2">
        <f t="shared" si="0"/>
        <v>26</v>
      </c>
      <c r="B27" s="2" t="s">
        <v>70</v>
      </c>
      <c r="C27" s="3" t="s">
        <v>71</v>
      </c>
      <c r="D27" s="4">
        <v>45112</v>
      </c>
      <c r="E27" s="4">
        <v>45235</v>
      </c>
      <c r="F27" s="23">
        <v>274.2</v>
      </c>
      <c r="G27" s="23">
        <v>327</v>
      </c>
      <c r="H27" s="2">
        <v>0.34</v>
      </c>
      <c r="I27" s="2">
        <v>19.260000000000002</v>
      </c>
    </row>
    <row r="28" spans="1:9" ht="20" customHeight="1" x14ac:dyDescent="0.2">
      <c r="A28" s="2">
        <f t="shared" si="0"/>
        <v>27</v>
      </c>
      <c r="B28" s="2" t="s">
        <v>72</v>
      </c>
      <c r="C28" s="3" t="s">
        <v>73</v>
      </c>
      <c r="D28" s="4">
        <v>45144</v>
      </c>
      <c r="E28" s="4">
        <v>45266</v>
      </c>
      <c r="F28" s="23">
        <v>582.4</v>
      </c>
      <c r="G28" s="23">
        <v>518</v>
      </c>
      <c r="H28" s="2">
        <v>0.33</v>
      </c>
      <c r="I28" s="2">
        <v>-11.06</v>
      </c>
    </row>
    <row r="29" spans="1:9" ht="20" customHeight="1" x14ac:dyDescent="0.2">
      <c r="A29" s="2">
        <f t="shared" si="0"/>
        <v>28</v>
      </c>
      <c r="B29" s="2" t="s">
        <v>74</v>
      </c>
      <c r="C29" s="3" t="s">
        <v>75</v>
      </c>
      <c r="D29" s="4">
        <v>45144</v>
      </c>
      <c r="E29" s="4">
        <v>45266</v>
      </c>
      <c r="F29" s="23">
        <v>275.39999999999998</v>
      </c>
      <c r="G29" s="23">
        <v>233.9</v>
      </c>
      <c r="H29" s="2">
        <v>0.33</v>
      </c>
      <c r="I29" s="2">
        <v>-15.07</v>
      </c>
    </row>
    <row r="30" spans="1:9" ht="20" customHeight="1" x14ac:dyDescent="0.2">
      <c r="A30" s="2">
        <f t="shared" si="0"/>
        <v>29</v>
      </c>
      <c r="B30" s="2" t="s">
        <v>76</v>
      </c>
      <c r="C30" s="3" t="s">
        <v>77</v>
      </c>
      <c r="D30" s="4">
        <v>45151</v>
      </c>
      <c r="E30" s="4">
        <v>45273</v>
      </c>
      <c r="F30" s="23">
        <v>509</v>
      </c>
      <c r="G30" s="23">
        <v>463.1</v>
      </c>
      <c r="H30" s="2">
        <v>0.33</v>
      </c>
      <c r="I30" s="2">
        <v>-9.02</v>
      </c>
    </row>
    <row r="31" spans="1:9" ht="20" customHeight="1" x14ac:dyDescent="0.2">
      <c r="A31" s="2">
        <f t="shared" si="0"/>
        <v>30</v>
      </c>
      <c r="B31" s="2" t="s">
        <v>78</v>
      </c>
      <c r="C31" s="3" t="s">
        <v>79</v>
      </c>
      <c r="D31" s="4">
        <v>45151</v>
      </c>
      <c r="E31" s="4">
        <v>45273</v>
      </c>
      <c r="F31" s="23">
        <v>280.5</v>
      </c>
      <c r="G31" s="23">
        <v>407</v>
      </c>
      <c r="H31" s="2">
        <v>0.33</v>
      </c>
      <c r="I31" s="2">
        <v>45.1</v>
      </c>
    </row>
    <row r="32" spans="1:9" ht="20" customHeight="1" x14ac:dyDescent="0.2">
      <c r="A32" s="2">
        <f t="shared" si="0"/>
        <v>31</v>
      </c>
      <c r="B32" s="2" t="s">
        <v>80</v>
      </c>
      <c r="C32" s="3" t="s">
        <v>81</v>
      </c>
      <c r="D32" s="4">
        <v>45151</v>
      </c>
      <c r="E32" s="4">
        <v>45273</v>
      </c>
      <c r="F32" s="23">
        <v>278.89999999999998</v>
      </c>
      <c r="G32" s="23">
        <v>374</v>
      </c>
      <c r="H32" s="2">
        <v>0.33</v>
      </c>
      <c r="I32" s="2">
        <v>34.1</v>
      </c>
    </row>
    <row r="33" spans="1:9" ht="20" customHeight="1" x14ac:dyDescent="0.2">
      <c r="A33" s="2">
        <f t="shared" si="0"/>
        <v>32</v>
      </c>
      <c r="B33" s="2" t="s">
        <v>82</v>
      </c>
      <c r="C33" s="3" t="s">
        <v>83</v>
      </c>
      <c r="D33" s="4">
        <v>45159</v>
      </c>
      <c r="E33" s="4">
        <v>45281</v>
      </c>
      <c r="F33" s="23">
        <v>526.9</v>
      </c>
      <c r="G33" s="23">
        <v>893</v>
      </c>
      <c r="H33" s="2">
        <v>0.33</v>
      </c>
      <c r="I33" s="2">
        <v>69.48</v>
      </c>
    </row>
    <row r="34" spans="1:9" ht="20" customHeight="1" x14ac:dyDescent="0.2">
      <c r="A34" s="2">
        <f t="shared" ref="A34:A65" si="1">ROW()-1</f>
        <v>33</v>
      </c>
      <c r="B34" s="2" t="s">
        <v>84</v>
      </c>
      <c r="C34" s="3" t="s">
        <v>85</v>
      </c>
      <c r="D34" s="4">
        <v>45186</v>
      </c>
      <c r="E34" s="4">
        <v>45308</v>
      </c>
      <c r="F34" s="23">
        <v>495</v>
      </c>
      <c r="G34" s="23">
        <v>578</v>
      </c>
      <c r="H34" s="2">
        <v>0.33</v>
      </c>
      <c r="I34" s="2">
        <v>16.77</v>
      </c>
    </row>
    <row r="35" spans="1:9" ht="20" customHeight="1" x14ac:dyDescent="0.2">
      <c r="A35" s="2">
        <f t="shared" si="1"/>
        <v>34</v>
      </c>
      <c r="B35" s="2" t="s">
        <v>86</v>
      </c>
      <c r="C35" s="3" t="s">
        <v>87</v>
      </c>
      <c r="D35" s="4">
        <v>45190</v>
      </c>
      <c r="E35" s="4">
        <v>45312</v>
      </c>
      <c r="F35" s="23">
        <v>470</v>
      </c>
      <c r="G35" s="23">
        <v>590.1</v>
      </c>
      <c r="H35" s="2">
        <v>0.33</v>
      </c>
      <c r="I35" s="2">
        <v>25.55</v>
      </c>
    </row>
    <row r="36" spans="1:9" ht="20" customHeight="1" x14ac:dyDescent="0.2">
      <c r="A36" s="2">
        <f t="shared" si="1"/>
        <v>35</v>
      </c>
      <c r="B36" s="2" t="s">
        <v>88</v>
      </c>
      <c r="C36" s="3" t="s">
        <v>89</v>
      </c>
      <c r="D36" s="4">
        <v>45194</v>
      </c>
      <c r="E36" s="4">
        <v>45316</v>
      </c>
      <c r="F36" s="23">
        <v>225</v>
      </c>
      <c r="G36" s="23">
        <v>289.60000000000002</v>
      </c>
      <c r="H36" s="2">
        <v>0.33</v>
      </c>
      <c r="I36" s="2">
        <v>28.71</v>
      </c>
    </row>
    <row r="37" spans="1:9" ht="20" customHeight="1" x14ac:dyDescent="0.2">
      <c r="A37" s="2">
        <f t="shared" si="1"/>
        <v>36</v>
      </c>
      <c r="B37" s="2" t="s">
        <v>90</v>
      </c>
      <c r="C37" s="3" t="s">
        <v>91</v>
      </c>
      <c r="D37" s="4">
        <v>45194</v>
      </c>
      <c r="E37" s="4">
        <v>45316</v>
      </c>
      <c r="F37" s="23">
        <v>264</v>
      </c>
      <c r="G37" s="23">
        <v>299</v>
      </c>
      <c r="H37" s="2">
        <v>0.33</v>
      </c>
      <c r="I37" s="2">
        <v>13.26</v>
      </c>
    </row>
    <row r="38" spans="1:9" ht="20" customHeight="1" x14ac:dyDescent="0.2">
      <c r="A38" s="2">
        <f t="shared" si="1"/>
        <v>37</v>
      </c>
      <c r="B38" s="2" t="s">
        <v>92</v>
      </c>
      <c r="C38" s="3" t="s">
        <v>93</v>
      </c>
      <c r="D38" s="4">
        <v>45200</v>
      </c>
      <c r="E38" s="4">
        <v>45323</v>
      </c>
      <c r="F38" s="23">
        <v>457.2</v>
      </c>
      <c r="G38" s="23">
        <v>449.6</v>
      </c>
      <c r="H38" s="2">
        <v>0.34</v>
      </c>
      <c r="I38" s="2">
        <v>3.31</v>
      </c>
    </row>
    <row r="39" spans="1:9" ht="20" customHeight="1" x14ac:dyDescent="0.2">
      <c r="A39" s="2">
        <f t="shared" si="1"/>
        <v>38</v>
      </c>
      <c r="B39" s="2" t="s">
        <v>94</v>
      </c>
      <c r="C39" s="3" t="s">
        <v>95</v>
      </c>
      <c r="D39" s="4">
        <v>45210</v>
      </c>
      <c r="E39" s="4">
        <v>45333</v>
      </c>
      <c r="F39" s="23">
        <v>410.5</v>
      </c>
      <c r="G39" s="23">
        <v>703</v>
      </c>
      <c r="H39" s="2">
        <v>0.34</v>
      </c>
      <c r="I39" s="2">
        <v>73.69</v>
      </c>
    </row>
    <row r="40" spans="1:9" ht="20" customHeight="1" x14ac:dyDescent="0.2">
      <c r="A40" s="2">
        <f t="shared" si="1"/>
        <v>39</v>
      </c>
      <c r="B40" s="2" t="s">
        <v>96</v>
      </c>
      <c r="C40" s="3" t="s">
        <v>97</v>
      </c>
      <c r="D40" s="4">
        <v>45210</v>
      </c>
      <c r="E40" s="4">
        <v>45333</v>
      </c>
      <c r="F40" s="23">
        <v>313.7</v>
      </c>
      <c r="G40" s="23">
        <v>952.1</v>
      </c>
      <c r="H40" s="2">
        <v>0.34</v>
      </c>
      <c r="I40" s="2">
        <v>234.02</v>
      </c>
    </row>
    <row r="41" spans="1:9" ht="20" customHeight="1" x14ac:dyDescent="0.2">
      <c r="A41" s="2">
        <f t="shared" si="1"/>
        <v>40</v>
      </c>
      <c r="B41" s="2" t="s">
        <v>98</v>
      </c>
      <c r="C41" s="3" t="s">
        <v>99</v>
      </c>
      <c r="D41" s="4">
        <v>45211</v>
      </c>
      <c r="E41" s="4">
        <v>45334</v>
      </c>
      <c r="F41" s="23">
        <v>397.2</v>
      </c>
      <c r="G41" s="23">
        <v>629</v>
      </c>
      <c r="H41" s="2">
        <v>0.34</v>
      </c>
      <c r="I41" s="2">
        <v>61.01</v>
      </c>
    </row>
    <row r="42" spans="1:9" ht="20" customHeight="1" x14ac:dyDescent="0.2">
      <c r="A42" s="2">
        <f t="shared" si="1"/>
        <v>41</v>
      </c>
      <c r="B42" s="2" t="s">
        <v>100</v>
      </c>
      <c r="C42" s="3" t="s">
        <v>101</v>
      </c>
      <c r="D42" s="4">
        <v>45211</v>
      </c>
      <c r="E42" s="4">
        <v>45334</v>
      </c>
      <c r="F42" s="23">
        <v>330</v>
      </c>
      <c r="G42" s="23">
        <v>701</v>
      </c>
      <c r="H42" s="2">
        <v>0.34</v>
      </c>
      <c r="I42" s="2">
        <v>112.42</v>
      </c>
    </row>
    <row r="43" spans="1:9" ht="20" customHeight="1" x14ac:dyDescent="0.2">
      <c r="A43" s="2">
        <f t="shared" si="1"/>
        <v>42</v>
      </c>
      <c r="B43" s="2" t="s">
        <v>102</v>
      </c>
      <c r="C43" s="3" t="s">
        <v>103</v>
      </c>
      <c r="D43" s="4">
        <v>45228</v>
      </c>
      <c r="E43" s="4">
        <v>45351</v>
      </c>
      <c r="F43" s="23">
        <v>315</v>
      </c>
      <c r="G43" s="23">
        <v>440</v>
      </c>
      <c r="H43" s="2">
        <v>0.34</v>
      </c>
      <c r="I43" s="2">
        <v>39.68</v>
      </c>
    </row>
    <row r="44" spans="1:9" ht="20" customHeight="1" x14ac:dyDescent="0.2">
      <c r="A44" s="2">
        <f t="shared" si="1"/>
        <v>43</v>
      </c>
      <c r="B44" s="2" t="s">
        <v>104</v>
      </c>
      <c r="C44" s="3" t="s">
        <v>105</v>
      </c>
      <c r="D44" s="4">
        <v>45250</v>
      </c>
      <c r="E44" s="4">
        <v>45371</v>
      </c>
      <c r="F44" s="23">
        <v>259.60000000000002</v>
      </c>
      <c r="G44" s="23">
        <v>427</v>
      </c>
      <c r="H44" s="2">
        <v>0.33</v>
      </c>
      <c r="I44" s="2">
        <v>64.48</v>
      </c>
    </row>
    <row r="45" spans="1:9" ht="20" customHeight="1" x14ac:dyDescent="0.2">
      <c r="A45" s="2">
        <f t="shared" si="1"/>
        <v>44</v>
      </c>
      <c r="B45" s="2" t="s">
        <v>106</v>
      </c>
      <c r="C45" s="3" t="s">
        <v>107</v>
      </c>
      <c r="D45" s="4">
        <v>45267</v>
      </c>
      <c r="E45" s="4">
        <v>45389</v>
      </c>
      <c r="F45" s="23">
        <v>294.8</v>
      </c>
      <c r="G45" s="23">
        <v>480</v>
      </c>
      <c r="H45" s="2">
        <v>0.33</v>
      </c>
      <c r="I45" s="2">
        <v>62.82</v>
      </c>
    </row>
    <row r="46" spans="1:9" ht="20" customHeight="1" x14ac:dyDescent="0.2">
      <c r="A46" s="2">
        <f t="shared" si="1"/>
        <v>45</v>
      </c>
      <c r="B46" s="2" t="s">
        <v>108</v>
      </c>
      <c r="C46" s="3" t="s">
        <v>109</v>
      </c>
      <c r="D46" s="4">
        <v>45274</v>
      </c>
      <c r="E46" s="4">
        <v>45396</v>
      </c>
      <c r="F46" s="23">
        <v>196.6</v>
      </c>
      <c r="G46" s="23">
        <v>921</v>
      </c>
      <c r="H46" s="2">
        <v>0.33</v>
      </c>
      <c r="I46" s="2">
        <v>368.46</v>
      </c>
    </row>
    <row r="47" spans="1:9" ht="20" customHeight="1" x14ac:dyDescent="0.2">
      <c r="A47" s="2">
        <f t="shared" si="1"/>
        <v>46</v>
      </c>
      <c r="B47" s="2" t="s">
        <v>110</v>
      </c>
      <c r="C47" s="3" t="s">
        <v>111</v>
      </c>
      <c r="D47" s="4">
        <v>45281</v>
      </c>
      <c r="E47" s="4">
        <v>45403</v>
      </c>
      <c r="F47" s="23">
        <v>330</v>
      </c>
      <c r="G47" s="23">
        <v>534</v>
      </c>
      <c r="H47" s="2">
        <v>0.33</v>
      </c>
      <c r="I47" s="2">
        <v>61.82</v>
      </c>
    </row>
    <row r="48" spans="1:9" ht="20" customHeight="1" x14ac:dyDescent="0.2">
      <c r="A48" s="2">
        <f t="shared" si="1"/>
        <v>47</v>
      </c>
      <c r="B48" s="2" t="s">
        <v>112</v>
      </c>
      <c r="C48" s="3" t="s">
        <v>113</v>
      </c>
      <c r="D48" s="4">
        <v>45281</v>
      </c>
      <c r="E48" s="4">
        <v>45403</v>
      </c>
      <c r="F48" s="23">
        <v>229.6</v>
      </c>
      <c r="G48" s="23">
        <v>730</v>
      </c>
      <c r="H48" s="2">
        <v>0.33</v>
      </c>
      <c r="I48" s="2">
        <v>217.94</v>
      </c>
    </row>
    <row r="49" spans="1:9" ht="20" customHeight="1" x14ac:dyDescent="0.2">
      <c r="A49" s="2">
        <f t="shared" si="1"/>
        <v>48</v>
      </c>
      <c r="B49" s="2" t="s">
        <v>114</v>
      </c>
      <c r="C49" s="3" t="s">
        <v>115</v>
      </c>
      <c r="D49" s="4">
        <v>45281</v>
      </c>
      <c r="E49" s="4">
        <v>45403</v>
      </c>
      <c r="F49" s="23">
        <v>401.8</v>
      </c>
      <c r="G49" s="23">
        <v>483</v>
      </c>
      <c r="H49" s="2">
        <v>0.33</v>
      </c>
      <c r="I49" s="2">
        <v>20.21</v>
      </c>
    </row>
    <row r="50" spans="1:9" ht="20" customHeight="1" x14ac:dyDescent="0.2">
      <c r="A50" s="2">
        <f t="shared" si="1"/>
        <v>49</v>
      </c>
      <c r="B50" s="2" t="s">
        <v>116</v>
      </c>
      <c r="C50" s="3" t="s">
        <v>117</v>
      </c>
      <c r="D50" s="4">
        <v>45299</v>
      </c>
      <c r="E50" s="4">
        <v>45420</v>
      </c>
      <c r="F50" s="23">
        <v>340.1</v>
      </c>
      <c r="G50" s="23">
        <v>562</v>
      </c>
      <c r="H50" s="2">
        <v>0.33</v>
      </c>
      <c r="I50" s="2">
        <v>71.92</v>
      </c>
    </row>
    <row r="51" spans="1:9" ht="20" customHeight="1" x14ac:dyDescent="0.2">
      <c r="A51" s="2">
        <f t="shared" si="1"/>
        <v>50</v>
      </c>
      <c r="B51" s="2" t="s">
        <v>119</v>
      </c>
      <c r="C51" s="3" t="s">
        <v>120</v>
      </c>
      <c r="D51" s="4">
        <v>45370</v>
      </c>
      <c r="E51" s="4">
        <v>45492</v>
      </c>
      <c r="F51" s="23">
        <v>611.6</v>
      </c>
      <c r="G51" s="23">
        <v>856</v>
      </c>
      <c r="H51" s="2">
        <v>0.33</v>
      </c>
      <c r="I51" s="2">
        <v>40.97</v>
      </c>
    </row>
    <row r="52" spans="1:9" ht="20" customHeight="1" x14ac:dyDescent="0.2">
      <c r="A52" s="2">
        <f t="shared" si="1"/>
        <v>51</v>
      </c>
      <c r="B52" s="2" t="s">
        <v>121</v>
      </c>
      <c r="C52" s="3" t="s">
        <v>122</v>
      </c>
      <c r="D52" s="4">
        <v>45697</v>
      </c>
      <c r="E52" s="4">
        <v>45817</v>
      </c>
      <c r="F52" s="23">
        <v>331.1</v>
      </c>
      <c r="G52" s="23">
        <v>2402.09</v>
      </c>
      <c r="H52" s="2">
        <v>0.33</v>
      </c>
      <c r="I52" s="2">
        <v>625.49</v>
      </c>
    </row>
    <row r="53" spans="1:9" ht="20" customHeight="1" x14ac:dyDescent="0.2">
      <c r="A53" s="2">
        <f t="shared" si="1"/>
        <v>52</v>
      </c>
      <c r="B53" s="2" t="s">
        <v>123</v>
      </c>
      <c r="C53" s="3" t="s">
        <v>124</v>
      </c>
      <c r="D53" s="4">
        <v>45755</v>
      </c>
      <c r="E53" s="4">
        <v>45877</v>
      </c>
      <c r="F53" s="23">
        <v>332.5</v>
      </c>
      <c r="G53" s="23">
        <v>1544.21</v>
      </c>
      <c r="H53" s="2">
        <v>0.33</v>
      </c>
      <c r="I53" s="2">
        <v>370.27</v>
      </c>
    </row>
    <row r="54" spans="1:9" ht="20" customHeight="1" x14ac:dyDescent="0.2">
      <c r="A54" s="2">
        <f t="shared" si="1"/>
        <v>53</v>
      </c>
      <c r="B54" s="2" t="s">
        <v>125</v>
      </c>
      <c r="C54" s="3" t="s">
        <v>126</v>
      </c>
      <c r="D54" s="4">
        <v>45757</v>
      </c>
      <c r="E54" s="4">
        <v>45879</v>
      </c>
      <c r="F54" s="23">
        <v>332.7</v>
      </c>
      <c r="G54" s="23">
        <v>1329.84</v>
      </c>
      <c r="H54" s="2">
        <v>0.33</v>
      </c>
      <c r="I54" s="2">
        <v>302.2</v>
      </c>
    </row>
    <row r="55" spans="1:9" ht="20" customHeight="1" x14ac:dyDescent="0.2">
      <c r="A55" s="2">
        <f t="shared" si="1"/>
        <v>54</v>
      </c>
      <c r="B55" s="2" t="s">
        <v>127</v>
      </c>
      <c r="C55" s="3" t="s">
        <v>128</v>
      </c>
      <c r="D55" s="4">
        <v>45781</v>
      </c>
      <c r="E55" s="4">
        <v>45904</v>
      </c>
      <c r="F55" s="23">
        <v>297</v>
      </c>
      <c r="G55" s="23">
        <v>1233.22</v>
      </c>
      <c r="H55" s="2">
        <v>0.34</v>
      </c>
      <c r="I55" s="2">
        <v>315.23</v>
      </c>
    </row>
    <row r="56" spans="1:9" ht="20" customHeight="1" x14ac:dyDescent="0.2">
      <c r="A56" s="2">
        <f t="shared" si="1"/>
        <v>55</v>
      </c>
      <c r="B56" s="2" t="s">
        <v>129</v>
      </c>
      <c r="C56" s="3" t="s">
        <v>130</v>
      </c>
      <c r="D56" s="4">
        <v>45804</v>
      </c>
      <c r="E56" s="4">
        <v>45927</v>
      </c>
      <c r="F56" s="23">
        <v>318.2</v>
      </c>
      <c r="G56" s="23">
        <v>797</v>
      </c>
      <c r="H56" s="2">
        <v>0.33</v>
      </c>
      <c r="I56" s="2">
        <v>151.1</v>
      </c>
    </row>
    <row r="57" spans="1:9" ht="20" customHeight="1" x14ac:dyDescent="0.2">
      <c r="A57" s="2">
        <f t="shared" si="1"/>
        <v>56</v>
      </c>
      <c r="B57" s="2" t="s">
        <v>131</v>
      </c>
      <c r="C57" s="3" t="s">
        <v>132</v>
      </c>
      <c r="D57" s="4">
        <v>45855</v>
      </c>
      <c r="E57" s="4">
        <v>45978</v>
      </c>
      <c r="F57" s="23">
        <v>402.7</v>
      </c>
      <c r="G57" s="23">
        <v>708</v>
      </c>
      <c r="H57" s="2">
        <v>0.34</v>
      </c>
      <c r="I57" s="2">
        <v>75.81</v>
      </c>
    </row>
    <row r="58" spans="1:9" ht="20" customHeight="1" x14ac:dyDescent="0.2">
      <c r="A58" s="2">
        <f t="shared" si="1"/>
        <v>57</v>
      </c>
      <c r="B58" s="2" t="s">
        <v>133</v>
      </c>
      <c r="C58" s="3" t="s">
        <v>134</v>
      </c>
      <c r="D58" s="4">
        <v>45858</v>
      </c>
      <c r="E58" s="4">
        <v>45981</v>
      </c>
      <c r="F58" s="23">
        <v>394.9</v>
      </c>
      <c r="G58" s="23">
        <v>644</v>
      </c>
      <c r="H58" s="2">
        <v>0.34</v>
      </c>
      <c r="I58" s="2">
        <v>63.08</v>
      </c>
    </row>
    <row r="59" spans="1:9" ht="20" customHeight="1" x14ac:dyDescent="0.2">
      <c r="A59" s="2">
        <f t="shared" si="1"/>
        <v>58</v>
      </c>
      <c r="B59" s="2" t="s">
        <v>135</v>
      </c>
      <c r="C59" s="3" t="s">
        <v>136</v>
      </c>
      <c r="D59" s="4">
        <v>45889</v>
      </c>
      <c r="E59" s="4">
        <v>46011</v>
      </c>
      <c r="F59" s="23">
        <v>321.3</v>
      </c>
      <c r="G59" s="23">
        <v>475.9</v>
      </c>
      <c r="H59" s="2">
        <v>0.33</v>
      </c>
      <c r="I59" s="2">
        <v>50.95</v>
      </c>
    </row>
    <row r="60" spans="1:9" ht="20" customHeight="1" x14ac:dyDescent="0.2">
      <c r="A60" s="2">
        <f t="shared" si="1"/>
        <v>59</v>
      </c>
      <c r="B60" s="2" t="s">
        <v>137</v>
      </c>
      <c r="C60" s="3" t="s">
        <v>138</v>
      </c>
      <c r="D60" s="4">
        <v>45901</v>
      </c>
      <c r="E60" s="4">
        <v>46023</v>
      </c>
      <c r="F60" s="23">
        <v>267.5</v>
      </c>
      <c r="G60" s="23">
        <v>909</v>
      </c>
      <c r="H60" s="2">
        <v>0.33</v>
      </c>
      <c r="I60" s="2">
        <v>239.81</v>
      </c>
    </row>
    <row r="61" spans="1:9" ht="20" customHeight="1" x14ac:dyDescent="0.2">
      <c r="A61" s="2">
        <f t="shared" si="1"/>
        <v>60</v>
      </c>
      <c r="B61" s="2" t="s">
        <v>139</v>
      </c>
      <c r="C61" s="3" t="s">
        <v>140</v>
      </c>
      <c r="D61" s="4">
        <v>45965</v>
      </c>
      <c r="E61" s="4">
        <v>46085</v>
      </c>
      <c r="F61" s="23">
        <v>349.4</v>
      </c>
      <c r="G61" s="23">
        <v>816</v>
      </c>
      <c r="H61" s="2">
        <v>0.33</v>
      </c>
      <c r="I61" s="2">
        <v>120.38</v>
      </c>
    </row>
    <row r="62" spans="1:9" ht="20" customHeight="1" x14ac:dyDescent="0.2">
      <c r="A62" s="2">
        <f t="shared" si="1"/>
        <v>61</v>
      </c>
      <c r="B62" s="2" t="s">
        <v>141</v>
      </c>
      <c r="C62" s="3" t="s">
        <v>142</v>
      </c>
      <c r="D62" s="4">
        <v>45967</v>
      </c>
      <c r="E62" s="4">
        <v>46087</v>
      </c>
      <c r="F62" s="23">
        <v>442.4</v>
      </c>
      <c r="G62" s="23">
        <v>795.9</v>
      </c>
      <c r="H62" s="2">
        <v>0.32</v>
      </c>
      <c r="I62" s="2">
        <v>66.34</v>
      </c>
    </row>
    <row r="63" spans="1:9" ht="20" customHeight="1" x14ac:dyDescent="0.2">
      <c r="A63" s="2">
        <f t="shared" si="1"/>
        <v>62</v>
      </c>
      <c r="B63" s="2" t="s">
        <v>143</v>
      </c>
      <c r="C63" s="3" t="s">
        <v>144</v>
      </c>
      <c r="D63" s="4">
        <v>45970</v>
      </c>
      <c r="E63" s="4">
        <v>46090</v>
      </c>
      <c r="F63" s="23">
        <v>351.4</v>
      </c>
      <c r="G63" s="23">
        <v>2172</v>
      </c>
      <c r="H63" s="2">
        <v>0.33</v>
      </c>
      <c r="I63" s="2">
        <v>518.1</v>
      </c>
    </row>
    <row r="64" spans="1:9" ht="20" customHeight="1" x14ac:dyDescent="0.2">
      <c r="A64" s="2">
        <f t="shared" si="1"/>
        <v>63</v>
      </c>
      <c r="B64" s="2" t="s">
        <v>145</v>
      </c>
      <c r="C64" s="3" t="s">
        <v>146</v>
      </c>
      <c r="D64" s="4">
        <v>45971</v>
      </c>
      <c r="E64" s="4">
        <v>46091</v>
      </c>
      <c r="F64" s="23">
        <v>332.6</v>
      </c>
      <c r="G64" s="23">
        <v>689.9</v>
      </c>
      <c r="H64" s="2">
        <v>0.33</v>
      </c>
      <c r="I64" s="2">
        <v>107.43</v>
      </c>
    </row>
    <row r="65" spans="1:9" ht="20" customHeight="1" x14ac:dyDescent="0.2">
      <c r="A65" s="2">
        <f t="shared" si="1"/>
        <v>64</v>
      </c>
      <c r="B65" s="2" t="s">
        <v>147</v>
      </c>
      <c r="C65" s="3" t="s">
        <v>148</v>
      </c>
      <c r="D65" s="4">
        <v>45972</v>
      </c>
      <c r="E65" s="4">
        <v>46092</v>
      </c>
      <c r="F65" s="23">
        <v>313.5</v>
      </c>
      <c r="G65" s="23">
        <v>984</v>
      </c>
      <c r="H65" s="2">
        <v>0.33</v>
      </c>
      <c r="I65" s="2">
        <v>213.88</v>
      </c>
    </row>
    <row r="66" spans="1:9" ht="20" customHeight="1" x14ac:dyDescent="0.2">
      <c r="A66" s="2">
        <f t="shared" ref="A66:A71" si="2">ROW()-1</f>
        <v>65</v>
      </c>
      <c r="B66" s="2" t="s">
        <v>149</v>
      </c>
      <c r="C66" s="3" t="s">
        <v>150</v>
      </c>
      <c r="D66" s="4">
        <v>45972</v>
      </c>
      <c r="E66" s="4">
        <v>46092</v>
      </c>
      <c r="F66" s="23">
        <v>407.4</v>
      </c>
      <c r="G66" s="23">
        <v>2942</v>
      </c>
      <c r="H66" s="2">
        <v>0.33</v>
      </c>
      <c r="I66" s="2">
        <v>622.14</v>
      </c>
    </row>
    <row r="67" spans="1:9" ht="20" customHeight="1" x14ac:dyDescent="0.2">
      <c r="A67" s="2">
        <f t="shared" si="2"/>
        <v>66</v>
      </c>
      <c r="B67" s="2" t="s">
        <v>151</v>
      </c>
      <c r="C67" s="3" t="s">
        <v>152</v>
      </c>
      <c r="D67" s="4">
        <v>45977</v>
      </c>
      <c r="E67" s="4">
        <v>46097</v>
      </c>
      <c r="F67" s="23">
        <v>311.2</v>
      </c>
      <c r="G67" s="23">
        <v>1450</v>
      </c>
      <c r="H67" s="2">
        <v>0.33</v>
      </c>
      <c r="I67" s="2">
        <v>365.94</v>
      </c>
    </row>
    <row r="68" spans="1:9" ht="20" customHeight="1" x14ac:dyDescent="0.2">
      <c r="A68" s="2">
        <f t="shared" si="2"/>
        <v>67</v>
      </c>
      <c r="B68" s="2" t="s">
        <v>153</v>
      </c>
      <c r="C68" s="3" t="s">
        <v>154</v>
      </c>
      <c r="D68" s="4">
        <v>45985</v>
      </c>
      <c r="E68" s="4">
        <v>46105</v>
      </c>
      <c r="F68" s="23">
        <v>331.8</v>
      </c>
      <c r="G68" s="23">
        <v>1333</v>
      </c>
      <c r="H68" s="2">
        <v>0.33</v>
      </c>
      <c r="I68" s="2">
        <v>301.75</v>
      </c>
    </row>
    <row r="69" spans="1:9" ht="20" customHeight="1" x14ac:dyDescent="0.2">
      <c r="A69" s="2">
        <f t="shared" si="2"/>
        <v>68</v>
      </c>
      <c r="B69" s="2" t="s">
        <v>155</v>
      </c>
      <c r="C69" s="3" t="s">
        <v>156</v>
      </c>
      <c r="D69" s="4">
        <v>46001</v>
      </c>
      <c r="E69" s="4">
        <v>46122</v>
      </c>
      <c r="F69" s="23">
        <v>351.7</v>
      </c>
      <c r="G69" s="23">
        <v>1849</v>
      </c>
      <c r="H69" s="2">
        <v>0.33</v>
      </c>
      <c r="I69" s="2">
        <v>425.73</v>
      </c>
    </row>
    <row r="70" spans="1:9" ht="20" customHeight="1" x14ac:dyDescent="0.2">
      <c r="A70" s="2">
        <f t="shared" si="2"/>
        <v>69</v>
      </c>
      <c r="B70" s="2" t="s">
        <v>157</v>
      </c>
      <c r="C70" s="2" t="s">
        <v>163</v>
      </c>
      <c r="D70" s="4">
        <v>46069</v>
      </c>
      <c r="E70" s="4">
        <v>46151</v>
      </c>
      <c r="F70" s="23">
        <v>330</v>
      </c>
      <c r="G70" s="23">
        <v>361.8</v>
      </c>
      <c r="H70" s="2">
        <v>0</v>
      </c>
      <c r="I70" s="2">
        <v>9.64</v>
      </c>
    </row>
    <row r="71" spans="1:9" ht="20" customHeight="1" x14ac:dyDescent="0.2">
      <c r="A71" s="2">
        <f t="shared" si="2"/>
        <v>70</v>
      </c>
      <c r="B71" s="2" t="s">
        <v>158</v>
      </c>
      <c r="C71" s="3" t="s">
        <v>159</v>
      </c>
      <c r="D71" s="4">
        <v>46069</v>
      </c>
      <c r="E71" s="4">
        <v>46151</v>
      </c>
      <c r="F71" s="23">
        <v>330</v>
      </c>
      <c r="G71" s="23">
        <v>1235</v>
      </c>
      <c r="H71" s="2">
        <v>0.22</v>
      </c>
      <c r="I71" s="2">
        <v>274.24</v>
      </c>
    </row>
    <row r="72" spans="1:9" x14ac:dyDescent="0.2">
      <c r="A72" s="1"/>
      <c r="B72" s="1"/>
      <c r="C72" s="1"/>
      <c r="D72" s="1"/>
      <c r="E72" s="5"/>
      <c r="F72" s="5"/>
      <c r="G72" s="36"/>
      <c r="H72" s="35" t="s">
        <v>160</v>
      </c>
      <c r="I72" s="35">
        <f>SUMPRODUCT(H2:H71,I2:I71)/SUM(H2:H71)</f>
        <v>126.13686128182633</v>
      </c>
    </row>
    <row r="73" spans="1:9" x14ac:dyDescent="0.2">
      <c r="H73" s="32" t="s">
        <v>161</v>
      </c>
      <c r="I73" s="32">
        <f>((1+I72/100)^(365/120)-1)*100</f>
        <v>1096.408674745732</v>
      </c>
    </row>
    <row r="74" spans="1:9" x14ac:dyDescent="0.2">
      <c r="H74" s="35" t="s">
        <v>166</v>
      </c>
      <c r="I74" s="35">
        <f>MEDIAN(I2:I71)</f>
        <v>61.414999999999999</v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4"/>
  <sheetViews>
    <sheetView topLeftCell="A59" zoomScale="140" zoomScaleNormal="140" workbookViewId="0">
      <selection activeCell="H72" sqref="H72:I74"/>
    </sheetView>
  </sheetViews>
  <sheetFormatPr baseColWidth="10" defaultRowHeight="16" x14ac:dyDescent="0.2"/>
  <cols>
    <col min="3" max="3" width="44" bestFit="1" customWidth="1"/>
    <col min="4" max="4" width="11.5" bestFit="1" customWidth="1"/>
    <col min="5" max="5" width="12.33203125" bestFit="1" customWidth="1"/>
    <col min="6" max="6" width="15" customWidth="1"/>
    <col min="7" max="7" width="12" bestFit="1" customWidth="1"/>
    <col min="8" max="8" width="12.5" bestFit="1" customWidth="1"/>
    <col min="9" max="9" width="12.83203125" bestFit="1" customWidth="1"/>
  </cols>
  <sheetData>
    <row r="1" spans="1:9" ht="3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168</v>
      </c>
      <c r="G1" s="1" t="s">
        <v>169</v>
      </c>
      <c r="H1" s="1" t="s">
        <v>1</v>
      </c>
      <c r="I1" s="5" t="s">
        <v>18</v>
      </c>
    </row>
    <row r="2" spans="1:9" ht="20" customHeight="1" x14ac:dyDescent="0.2">
      <c r="A2" s="10">
        <f t="shared" ref="A2:A33" si="0">ROW()-1</f>
        <v>1</v>
      </c>
      <c r="B2" s="10" t="s">
        <v>19</v>
      </c>
      <c r="C2" s="11" t="s">
        <v>20</v>
      </c>
      <c r="D2" s="12">
        <v>44850</v>
      </c>
      <c r="E2" s="12">
        <v>45032</v>
      </c>
      <c r="F2" s="21">
        <v>255.7</v>
      </c>
      <c r="G2" s="21">
        <v>299</v>
      </c>
      <c r="H2" s="10" t="s">
        <v>164</v>
      </c>
      <c r="I2" s="10">
        <v>16.93</v>
      </c>
    </row>
    <row r="3" spans="1:9" ht="20" customHeight="1" x14ac:dyDescent="0.2">
      <c r="A3" s="10">
        <f t="shared" si="0"/>
        <v>2</v>
      </c>
      <c r="B3" s="10" t="s">
        <v>22</v>
      </c>
      <c r="C3" s="11" t="s">
        <v>23</v>
      </c>
      <c r="D3" s="12">
        <v>44851</v>
      </c>
      <c r="E3" s="12">
        <v>45033</v>
      </c>
      <c r="F3" s="21">
        <v>214.2</v>
      </c>
      <c r="G3" s="21">
        <v>408</v>
      </c>
      <c r="H3" s="10" t="s">
        <v>164</v>
      </c>
      <c r="I3" s="10">
        <v>90.48</v>
      </c>
    </row>
    <row r="4" spans="1:9" ht="20" customHeight="1" x14ac:dyDescent="0.2">
      <c r="A4" s="10">
        <f t="shared" si="0"/>
        <v>3</v>
      </c>
      <c r="B4" s="10" t="s">
        <v>24</v>
      </c>
      <c r="C4" s="11" t="s">
        <v>25</v>
      </c>
      <c r="D4" s="12">
        <v>44880</v>
      </c>
      <c r="E4" s="12">
        <v>45061</v>
      </c>
      <c r="F4" s="21">
        <v>321</v>
      </c>
      <c r="G4" s="21">
        <v>389.7</v>
      </c>
      <c r="H4" s="10" t="s">
        <v>164</v>
      </c>
      <c r="I4" s="10">
        <v>24.68</v>
      </c>
    </row>
    <row r="5" spans="1:9" ht="20" customHeight="1" x14ac:dyDescent="0.2">
      <c r="A5" s="10">
        <f t="shared" si="0"/>
        <v>4</v>
      </c>
      <c r="B5" s="10" t="s">
        <v>26</v>
      </c>
      <c r="C5" s="11" t="s">
        <v>27</v>
      </c>
      <c r="D5" s="12">
        <v>44909</v>
      </c>
      <c r="E5" s="12">
        <v>45091</v>
      </c>
      <c r="F5" s="21">
        <v>237.6</v>
      </c>
      <c r="G5" s="21">
        <v>372.1</v>
      </c>
      <c r="H5" s="10" t="s">
        <v>164</v>
      </c>
      <c r="I5" s="10">
        <v>56.61</v>
      </c>
    </row>
    <row r="6" spans="1:9" ht="20" customHeight="1" x14ac:dyDescent="0.2">
      <c r="A6" s="10">
        <f t="shared" si="0"/>
        <v>5</v>
      </c>
      <c r="B6" s="10" t="s">
        <v>28</v>
      </c>
      <c r="C6" s="11" t="s">
        <v>29</v>
      </c>
      <c r="D6" s="12">
        <v>44909</v>
      </c>
      <c r="E6" s="12">
        <v>45091</v>
      </c>
      <c r="F6" s="21">
        <v>270</v>
      </c>
      <c r="G6" s="21">
        <v>359</v>
      </c>
      <c r="H6" s="10" t="s">
        <v>164</v>
      </c>
      <c r="I6" s="10">
        <v>32.96</v>
      </c>
    </row>
    <row r="7" spans="1:9" ht="20" customHeight="1" x14ac:dyDescent="0.2">
      <c r="A7" s="10">
        <f t="shared" si="0"/>
        <v>6</v>
      </c>
      <c r="B7" s="10" t="s">
        <v>30</v>
      </c>
      <c r="C7" s="11" t="s">
        <v>31</v>
      </c>
      <c r="D7" s="12">
        <v>44915</v>
      </c>
      <c r="E7" s="12">
        <v>45097</v>
      </c>
      <c r="F7" s="21">
        <v>996.6</v>
      </c>
      <c r="G7" s="21">
        <v>1141</v>
      </c>
      <c r="H7" s="10" t="s">
        <v>164</v>
      </c>
      <c r="I7" s="10">
        <v>14.49</v>
      </c>
    </row>
    <row r="8" spans="1:9" ht="20" customHeight="1" x14ac:dyDescent="0.2">
      <c r="A8" s="10">
        <f t="shared" si="0"/>
        <v>7</v>
      </c>
      <c r="B8" s="10" t="s">
        <v>32</v>
      </c>
      <c r="C8" s="11" t="s">
        <v>33</v>
      </c>
      <c r="D8" s="12">
        <v>44930</v>
      </c>
      <c r="E8" s="12">
        <v>45111</v>
      </c>
      <c r="F8" s="21">
        <v>213.7</v>
      </c>
      <c r="G8" s="21">
        <v>466</v>
      </c>
      <c r="H8" s="10" t="s">
        <v>164</v>
      </c>
      <c r="I8" s="10">
        <v>118.06</v>
      </c>
    </row>
    <row r="9" spans="1:9" ht="20" customHeight="1" x14ac:dyDescent="0.2">
      <c r="A9" s="10">
        <f t="shared" si="0"/>
        <v>8</v>
      </c>
      <c r="B9" s="10" t="s">
        <v>34</v>
      </c>
      <c r="C9" s="11" t="s">
        <v>35</v>
      </c>
      <c r="D9" s="12">
        <v>44990</v>
      </c>
      <c r="E9" s="12">
        <v>45174</v>
      </c>
      <c r="F9" s="21">
        <v>328.9</v>
      </c>
      <c r="G9" s="21">
        <v>333</v>
      </c>
      <c r="H9" s="10" t="s">
        <v>164</v>
      </c>
      <c r="I9" s="10">
        <v>1.25</v>
      </c>
    </row>
    <row r="10" spans="1:9" ht="20" customHeight="1" x14ac:dyDescent="0.2">
      <c r="A10" s="10">
        <f t="shared" si="0"/>
        <v>9</v>
      </c>
      <c r="B10" s="10" t="s">
        <v>36</v>
      </c>
      <c r="C10" s="11" t="s">
        <v>37</v>
      </c>
      <c r="D10" s="12">
        <v>44992</v>
      </c>
      <c r="E10" s="12">
        <v>45176</v>
      </c>
      <c r="F10" s="21">
        <v>291.5</v>
      </c>
      <c r="G10" s="21">
        <v>691</v>
      </c>
      <c r="H10" s="10" t="s">
        <v>164</v>
      </c>
      <c r="I10" s="10">
        <v>137.05000000000001</v>
      </c>
    </row>
    <row r="11" spans="1:9" ht="20" customHeight="1" x14ac:dyDescent="0.2">
      <c r="A11" s="10">
        <f t="shared" si="0"/>
        <v>10</v>
      </c>
      <c r="B11" s="10" t="s">
        <v>38</v>
      </c>
      <c r="C11" s="11" t="s">
        <v>39</v>
      </c>
      <c r="D11" s="12">
        <v>45007</v>
      </c>
      <c r="E11" s="12">
        <v>45191</v>
      </c>
      <c r="F11" s="21">
        <v>292</v>
      </c>
      <c r="G11" s="21">
        <v>206.3</v>
      </c>
      <c r="H11" s="10" t="s">
        <v>164</v>
      </c>
      <c r="I11" s="10">
        <v>-25.34</v>
      </c>
    </row>
    <row r="12" spans="1:9" ht="20" customHeight="1" x14ac:dyDescent="0.2">
      <c r="A12" s="10">
        <f t="shared" si="0"/>
        <v>11</v>
      </c>
      <c r="B12" s="10" t="s">
        <v>40</v>
      </c>
      <c r="C12" s="11" t="s">
        <v>41</v>
      </c>
      <c r="D12" s="12">
        <v>45008</v>
      </c>
      <c r="E12" s="12">
        <v>45192</v>
      </c>
      <c r="F12" s="21">
        <v>328.6</v>
      </c>
      <c r="G12" s="21">
        <v>356.4</v>
      </c>
      <c r="H12" s="10" t="s">
        <v>164</v>
      </c>
      <c r="I12" s="10">
        <v>-1.4</v>
      </c>
    </row>
    <row r="13" spans="1:9" ht="20" customHeight="1" x14ac:dyDescent="0.2">
      <c r="A13" s="10">
        <f t="shared" si="0"/>
        <v>12</v>
      </c>
      <c r="B13" s="10" t="s">
        <v>42</v>
      </c>
      <c r="C13" s="11" t="s">
        <v>43</v>
      </c>
      <c r="D13" s="12">
        <v>45008</v>
      </c>
      <c r="E13" s="12">
        <v>45192</v>
      </c>
      <c r="F13" s="21">
        <v>139.69999999999999</v>
      </c>
      <c r="G13" s="21">
        <v>855.1</v>
      </c>
      <c r="H13" s="10" t="s">
        <v>164</v>
      </c>
      <c r="I13" s="10">
        <v>524.91</v>
      </c>
    </row>
    <row r="14" spans="1:9" ht="20" customHeight="1" x14ac:dyDescent="0.2">
      <c r="A14" s="10">
        <f t="shared" si="0"/>
        <v>13</v>
      </c>
      <c r="B14" s="10" t="s">
        <v>44</v>
      </c>
      <c r="C14" s="11" t="s">
        <v>45</v>
      </c>
      <c r="D14" s="12">
        <v>45012</v>
      </c>
      <c r="E14" s="12">
        <v>45196</v>
      </c>
      <c r="F14" s="21">
        <v>430.1</v>
      </c>
      <c r="G14" s="21">
        <v>579.9</v>
      </c>
      <c r="H14" s="10" t="s">
        <v>164</v>
      </c>
      <c r="I14" s="10">
        <v>34.83</v>
      </c>
    </row>
    <row r="15" spans="1:9" ht="20" customHeight="1" x14ac:dyDescent="0.2">
      <c r="A15" s="10">
        <f t="shared" si="0"/>
        <v>14</v>
      </c>
      <c r="B15" s="10" t="s">
        <v>46</v>
      </c>
      <c r="C15" s="11" t="s">
        <v>47</v>
      </c>
      <c r="D15" s="12">
        <v>45026</v>
      </c>
      <c r="E15" s="12">
        <v>45209</v>
      </c>
      <c r="F15" s="21">
        <v>324.5</v>
      </c>
      <c r="G15" s="21">
        <v>245</v>
      </c>
      <c r="H15" s="10" t="s">
        <v>164</v>
      </c>
      <c r="I15" s="10">
        <v>-24.5</v>
      </c>
    </row>
    <row r="16" spans="1:9" ht="20" customHeight="1" x14ac:dyDescent="0.2">
      <c r="A16" s="10">
        <f t="shared" si="0"/>
        <v>15</v>
      </c>
      <c r="B16" s="10" t="s">
        <v>48</v>
      </c>
      <c r="C16" s="11" t="s">
        <v>49</v>
      </c>
      <c r="D16" s="12">
        <v>45029</v>
      </c>
      <c r="E16" s="12">
        <v>45212</v>
      </c>
      <c r="F16" s="21">
        <v>155.1</v>
      </c>
      <c r="G16" s="21">
        <v>209</v>
      </c>
      <c r="H16" s="10" t="s">
        <v>164</v>
      </c>
      <c r="I16" s="10">
        <v>30.17</v>
      </c>
    </row>
    <row r="17" spans="1:9" ht="20" customHeight="1" x14ac:dyDescent="0.2">
      <c r="A17" s="10">
        <f t="shared" si="0"/>
        <v>16</v>
      </c>
      <c r="B17" s="10" t="s">
        <v>50</v>
      </c>
      <c r="C17" s="11" t="s">
        <v>51</v>
      </c>
      <c r="D17" s="12">
        <v>45029</v>
      </c>
      <c r="E17" s="12">
        <v>45212</v>
      </c>
      <c r="F17" s="21">
        <v>340</v>
      </c>
      <c r="G17" s="21">
        <v>237</v>
      </c>
      <c r="H17" s="10" t="s">
        <v>164</v>
      </c>
      <c r="I17" s="10">
        <v>-29.53</v>
      </c>
    </row>
    <row r="18" spans="1:9" ht="20" customHeight="1" x14ac:dyDescent="0.2">
      <c r="A18" s="10">
        <f t="shared" si="0"/>
        <v>17</v>
      </c>
      <c r="B18" s="10" t="s">
        <v>52</v>
      </c>
      <c r="C18" s="11" t="s">
        <v>53</v>
      </c>
      <c r="D18" s="12">
        <v>45048</v>
      </c>
      <c r="E18" s="12">
        <v>45232</v>
      </c>
      <c r="F18" s="21">
        <v>436.9</v>
      </c>
      <c r="G18" s="21">
        <v>1820</v>
      </c>
      <c r="H18" s="10" t="s">
        <v>164</v>
      </c>
      <c r="I18" s="10">
        <v>316.57</v>
      </c>
    </row>
    <row r="19" spans="1:9" ht="20" customHeight="1" x14ac:dyDescent="0.2">
      <c r="A19" s="10">
        <f t="shared" si="0"/>
        <v>18</v>
      </c>
      <c r="B19" s="10" t="s">
        <v>54</v>
      </c>
      <c r="C19" s="11" t="s">
        <v>55</v>
      </c>
      <c r="D19" s="12">
        <v>45053</v>
      </c>
      <c r="E19" s="12">
        <v>45237</v>
      </c>
      <c r="F19" s="21">
        <v>255</v>
      </c>
      <c r="G19" s="21">
        <v>223.7</v>
      </c>
      <c r="H19" s="10" t="s">
        <v>164</v>
      </c>
      <c r="I19" s="10">
        <v>-12.27</v>
      </c>
    </row>
    <row r="20" spans="1:9" ht="20" customHeight="1" x14ac:dyDescent="0.2">
      <c r="A20" s="10">
        <f t="shared" si="0"/>
        <v>19</v>
      </c>
      <c r="B20" s="10" t="s">
        <v>56</v>
      </c>
      <c r="C20" s="11" t="s">
        <v>57</v>
      </c>
      <c r="D20" s="12">
        <v>45062</v>
      </c>
      <c r="E20" s="12">
        <v>45246</v>
      </c>
      <c r="F20" s="21">
        <v>301.5</v>
      </c>
      <c r="G20" s="21">
        <v>246.4</v>
      </c>
      <c r="H20" s="10" t="s">
        <v>164</v>
      </c>
      <c r="I20" s="10">
        <v>-22.39</v>
      </c>
    </row>
    <row r="21" spans="1:9" ht="20" customHeight="1" x14ac:dyDescent="0.2">
      <c r="A21" s="10">
        <f t="shared" si="0"/>
        <v>20</v>
      </c>
      <c r="B21" s="10" t="s">
        <v>58</v>
      </c>
      <c r="C21" s="11" t="s">
        <v>59</v>
      </c>
      <c r="D21" s="12">
        <v>45085</v>
      </c>
      <c r="E21" s="12">
        <v>45268</v>
      </c>
      <c r="F21" s="21">
        <v>223</v>
      </c>
      <c r="G21" s="21">
        <v>238</v>
      </c>
      <c r="H21" s="10" t="s">
        <v>164</v>
      </c>
      <c r="I21" s="10">
        <v>-2.65</v>
      </c>
    </row>
    <row r="22" spans="1:9" ht="20" customHeight="1" x14ac:dyDescent="0.2">
      <c r="A22" s="10">
        <f t="shared" si="0"/>
        <v>21</v>
      </c>
      <c r="B22" s="10" t="s">
        <v>60</v>
      </c>
      <c r="C22" s="11" t="s">
        <v>61</v>
      </c>
      <c r="D22" s="12">
        <v>45085</v>
      </c>
      <c r="E22" s="12">
        <v>45268</v>
      </c>
      <c r="F22" s="21">
        <v>287.10000000000002</v>
      </c>
      <c r="G22" s="21">
        <v>228</v>
      </c>
      <c r="H22" s="10" t="s">
        <v>164</v>
      </c>
      <c r="I22" s="10">
        <v>-26.16</v>
      </c>
    </row>
    <row r="23" spans="1:9" ht="20" customHeight="1" x14ac:dyDescent="0.2">
      <c r="A23" s="10">
        <f t="shared" si="0"/>
        <v>22</v>
      </c>
      <c r="B23" s="10" t="s">
        <v>62</v>
      </c>
      <c r="C23" s="11" t="s">
        <v>63</v>
      </c>
      <c r="D23" s="12">
        <v>45088</v>
      </c>
      <c r="E23" s="12">
        <v>45271</v>
      </c>
      <c r="F23" s="21">
        <v>122.2</v>
      </c>
      <c r="G23" s="21">
        <v>588</v>
      </c>
      <c r="H23" s="10" t="s">
        <v>164</v>
      </c>
      <c r="I23" s="10">
        <v>381.18</v>
      </c>
    </row>
    <row r="24" spans="1:9" ht="20" customHeight="1" x14ac:dyDescent="0.2">
      <c r="A24" s="10">
        <f t="shared" si="0"/>
        <v>23</v>
      </c>
      <c r="B24" s="10" t="s">
        <v>64</v>
      </c>
      <c r="C24" s="11" t="s">
        <v>65</v>
      </c>
      <c r="D24" s="12">
        <v>45095</v>
      </c>
      <c r="E24" s="12">
        <v>45278</v>
      </c>
      <c r="F24" s="21">
        <v>255.2</v>
      </c>
      <c r="G24" s="21">
        <v>288.89999999999998</v>
      </c>
      <c r="H24" s="10" t="s">
        <v>164</v>
      </c>
      <c r="I24" s="10">
        <v>13.21</v>
      </c>
    </row>
    <row r="25" spans="1:9" ht="20" customHeight="1" x14ac:dyDescent="0.2">
      <c r="A25" s="10">
        <f t="shared" si="0"/>
        <v>24</v>
      </c>
      <c r="B25" s="10" t="s">
        <v>66</v>
      </c>
      <c r="C25" s="11" t="s">
        <v>67</v>
      </c>
      <c r="D25" s="12">
        <v>45097</v>
      </c>
      <c r="E25" s="12">
        <v>45280</v>
      </c>
      <c r="F25" s="21">
        <v>320.89999999999998</v>
      </c>
      <c r="G25" s="21">
        <v>300</v>
      </c>
      <c r="H25" s="10" t="s">
        <v>164</v>
      </c>
      <c r="I25" s="10">
        <v>-6.51</v>
      </c>
    </row>
    <row r="26" spans="1:9" ht="20" customHeight="1" x14ac:dyDescent="0.2">
      <c r="A26" s="10">
        <f t="shared" si="0"/>
        <v>25</v>
      </c>
      <c r="B26" s="10" t="s">
        <v>68</v>
      </c>
      <c r="C26" s="11" t="s">
        <v>69</v>
      </c>
      <c r="D26" s="12">
        <v>45112</v>
      </c>
      <c r="E26" s="12">
        <v>45296</v>
      </c>
      <c r="F26" s="21">
        <v>243</v>
      </c>
      <c r="G26" s="21">
        <v>212</v>
      </c>
      <c r="H26" s="10" t="s">
        <v>164</v>
      </c>
      <c r="I26" s="10">
        <v>-16.46</v>
      </c>
    </row>
    <row r="27" spans="1:9" ht="20" customHeight="1" x14ac:dyDescent="0.2">
      <c r="A27" s="10">
        <f t="shared" si="0"/>
        <v>26</v>
      </c>
      <c r="B27" s="10" t="s">
        <v>70</v>
      </c>
      <c r="C27" s="11" t="s">
        <v>71</v>
      </c>
      <c r="D27" s="12">
        <v>45112</v>
      </c>
      <c r="E27" s="12">
        <v>45296</v>
      </c>
      <c r="F27" s="21">
        <v>274.2</v>
      </c>
      <c r="G27" s="21">
        <v>422</v>
      </c>
      <c r="H27" s="10" t="s">
        <v>164</v>
      </c>
      <c r="I27" s="10">
        <v>60.1</v>
      </c>
    </row>
    <row r="28" spans="1:9" ht="20" customHeight="1" x14ac:dyDescent="0.2">
      <c r="A28" s="10">
        <f t="shared" si="0"/>
        <v>27</v>
      </c>
      <c r="B28" s="10" t="s">
        <v>72</v>
      </c>
      <c r="C28" s="11" t="s">
        <v>73</v>
      </c>
      <c r="D28" s="12">
        <v>45144</v>
      </c>
      <c r="E28" s="12">
        <v>45328</v>
      </c>
      <c r="F28" s="21">
        <v>582.4</v>
      </c>
      <c r="G28" s="21">
        <v>542</v>
      </c>
      <c r="H28" s="10" t="s">
        <v>164</v>
      </c>
      <c r="I28" s="10">
        <v>-6.94</v>
      </c>
    </row>
    <row r="29" spans="1:9" ht="20" customHeight="1" x14ac:dyDescent="0.2">
      <c r="A29" s="10">
        <f t="shared" si="0"/>
        <v>28</v>
      </c>
      <c r="B29" s="10" t="s">
        <v>74</v>
      </c>
      <c r="C29" s="11" t="s">
        <v>75</v>
      </c>
      <c r="D29" s="12">
        <v>45144</v>
      </c>
      <c r="E29" s="12">
        <v>45328</v>
      </c>
      <c r="F29" s="21">
        <v>275.39999999999998</v>
      </c>
      <c r="G29" s="21">
        <v>390</v>
      </c>
      <c r="H29" s="10" t="s">
        <v>164</v>
      </c>
      <c r="I29" s="10">
        <v>41.61</v>
      </c>
    </row>
    <row r="30" spans="1:9" ht="20" customHeight="1" x14ac:dyDescent="0.2">
      <c r="A30" s="10">
        <f t="shared" si="0"/>
        <v>29</v>
      </c>
      <c r="B30" s="10" t="s">
        <v>76</v>
      </c>
      <c r="C30" s="11" t="s">
        <v>77</v>
      </c>
      <c r="D30" s="12">
        <v>45151</v>
      </c>
      <c r="E30" s="12">
        <v>45335</v>
      </c>
      <c r="F30" s="21">
        <v>509</v>
      </c>
      <c r="G30" s="21">
        <v>493.8</v>
      </c>
      <c r="H30" s="10" t="s">
        <v>164</v>
      </c>
      <c r="I30" s="10">
        <v>11.57</v>
      </c>
    </row>
    <row r="31" spans="1:9" ht="20" customHeight="1" x14ac:dyDescent="0.2">
      <c r="A31" s="10">
        <f t="shared" si="0"/>
        <v>30</v>
      </c>
      <c r="B31" s="10" t="s">
        <v>78</v>
      </c>
      <c r="C31" s="11" t="s">
        <v>79</v>
      </c>
      <c r="D31" s="12">
        <v>45151</v>
      </c>
      <c r="E31" s="12">
        <v>45335</v>
      </c>
      <c r="F31" s="21">
        <v>280.5</v>
      </c>
      <c r="G31" s="21">
        <v>554</v>
      </c>
      <c r="H31" s="10" t="s">
        <v>164</v>
      </c>
      <c r="I31" s="10">
        <v>97.5</v>
      </c>
    </row>
    <row r="32" spans="1:9" ht="20" customHeight="1" x14ac:dyDescent="0.2">
      <c r="A32" s="10">
        <f t="shared" si="0"/>
        <v>31</v>
      </c>
      <c r="B32" s="10" t="s">
        <v>80</v>
      </c>
      <c r="C32" s="11" t="s">
        <v>81</v>
      </c>
      <c r="D32" s="12">
        <v>45151</v>
      </c>
      <c r="E32" s="12">
        <v>45335</v>
      </c>
      <c r="F32" s="21">
        <v>278.89999999999998</v>
      </c>
      <c r="G32" s="21">
        <v>515</v>
      </c>
      <c r="H32" s="10" t="s">
        <v>164</v>
      </c>
      <c r="I32" s="10">
        <v>84.65</v>
      </c>
    </row>
    <row r="33" spans="1:9" ht="20" customHeight="1" x14ac:dyDescent="0.2">
      <c r="A33" s="10">
        <f t="shared" si="0"/>
        <v>32</v>
      </c>
      <c r="B33" s="10" t="s">
        <v>82</v>
      </c>
      <c r="C33" s="11" t="s">
        <v>83</v>
      </c>
      <c r="D33" s="12">
        <v>45159</v>
      </c>
      <c r="E33" s="12">
        <v>45343</v>
      </c>
      <c r="F33" s="21">
        <v>526.9</v>
      </c>
      <c r="G33" s="21">
        <v>1052</v>
      </c>
      <c r="H33" s="10" t="s">
        <v>164</v>
      </c>
      <c r="I33" s="10">
        <v>99.66</v>
      </c>
    </row>
    <row r="34" spans="1:9" ht="20" customHeight="1" x14ac:dyDescent="0.2">
      <c r="A34" s="10">
        <f t="shared" ref="A34:A65" si="1">ROW()-1</f>
        <v>33</v>
      </c>
      <c r="B34" s="10" t="s">
        <v>84</v>
      </c>
      <c r="C34" s="11" t="s">
        <v>85</v>
      </c>
      <c r="D34" s="12">
        <v>45186</v>
      </c>
      <c r="E34" s="12">
        <v>45368</v>
      </c>
      <c r="F34" s="21">
        <v>495</v>
      </c>
      <c r="G34" s="21">
        <v>456</v>
      </c>
      <c r="H34" s="10" t="s">
        <v>164</v>
      </c>
      <c r="I34" s="10">
        <v>7.03</v>
      </c>
    </row>
    <row r="35" spans="1:9" ht="20" customHeight="1" x14ac:dyDescent="0.2">
      <c r="A35" s="10">
        <f t="shared" si="1"/>
        <v>34</v>
      </c>
      <c r="B35" s="10" t="s">
        <v>86</v>
      </c>
      <c r="C35" s="11" t="s">
        <v>87</v>
      </c>
      <c r="D35" s="12">
        <v>45190</v>
      </c>
      <c r="E35" s="12">
        <v>45372</v>
      </c>
      <c r="F35" s="21">
        <v>470</v>
      </c>
      <c r="G35" s="21">
        <v>609</v>
      </c>
      <c r="H35" s="10" t="s">
        <v>164</v>
      </c>
      <c r="I35" s="10">
        <v>29.57</v>
      </c>
    </row>
    <row r="36" spans="1:9" ht="20" customHeight="1" x14ac:dyDescent="0.2">
      <c r="A36" s="10">
        <f t="shared" si="1"/>
        <v>35</v>
      </c>
      <c r="B36" s="10" t="s">
        <v>88</v>
      </c>
      <c r="C36" s="11" t="s">
        <v>89</v>
      </c>
      <c r="D36" s="12">
        <v>45194</v>
      </c>
      <c r="E36" s="12">
        <v>45376</v>
      </c>
      <c r="F36" s="21">
        <v>225</v>
      </c>
      <c r="G36" s="21">
        <v>284</v>
      </c>
      <c r="H36" s="10" t="s">
        <v>164</v>
      </c>
      <c r="I36" s="10">
        <v>26.22</v>
      </c>
    </row>
    <row r="37" spans="1:9" ht="20" customHeight="1" x14ac:dyDescent="0.2">
      <c r="A37" s="10">
        <f t="shared" si="1"/>
        <v>36</v>
      </c>
      <c r="B37" s="10" t="s">
        <v>90</v>
      </c>
      <c r="C37" s="11" t="s">
        <v>91</v>
      </c>
      <c r="D37" s="12">
        <v>45194</v>
      </c>
      <c r="E37" s="12">
        <v>45376</v>
      </c>
      <c r="F37" s="21">
        <v>264</v>
      </c>
      <c r="G37" s="21">
        <v>313.5</v>
      </c>
      <c r="H37" s="10" t="s">
        <v>164</v>
      </c>
      <c r="I37" s="10">
        <v>18.75</v>
      </c>
    </row>
    <row r="38" spans="1:9" ht="20" customHeight="1" x14ac:dyDescent="0.2">
      <c r="A38" s="10">
        <f t="shared" si="1"/>
        <v>37</v>
      </c>
      <c r="B38" s="10" t="s">
        <v>92</v>
      </c>
      <c r="C38" s="11" t="s">
        <v>93</v>
      </c>
      <c r="D38" s="12">
        <v>45200</v>
      </c>
      <c r="E38" s="12">
        <v>45383</v>
      </c>
      <c r="F38" s="21">
        <v>457.2</v>
      </c>
      <c r="G38" s="21">
        <v>449.5</v>
      </c>
      <c r="H38" s="10" t="s">
        <v>164</v>
      </c>
      <c r="I38" s="10">
        <v>3.29</v>
      </c>
    </row>
    <row r="39" spans="1:9" ht="20" customHeight="1" x14ac:dyDescent="0.2">
      <c r="A39" s="10">
        <f t="shared" si="1"/>
        <v>38</v>
      </c>
      <c r="B39" s="10" t="s">
        <v>94</v>
      </c>
      <c r="C39" s="11" t="s">
        <v>95</v>
      </c>
      <c r="D39" s="12">
        <v>45210</v>
      </c>
      <c r="E39" s="12">
        <v>45393</v>
      </c>
      <c r="F39" s="21">
        <v>410.5</v>
      </c>
      <c r="G39" s="21">
        <v>815</v>
      </c>
      <c r="H39" s="10" t="s">
        <v>164</v>
      </c>
      <c r="I39" s="10">
        <v>90.01</v>
      </c>
    </row>
    <row r="40" spans="1:9" ht="20" customHeight="1" x14ac:dyDescent="0.2">
      <c r="A40" s="10">
        <f t="shared" si="1"/>
        <v>39</v>
      </c>
      <c r="B40" s="10" t="s">
        <v>96</v>
      </c>
      <c r="C40" s="11" t="s">
        <v>97</v>
      </c>
      <c r="D40" s="12">
        <v>45210</v>
      </c>
      <c r="E40" s="12">
        <v>45393</v>
      </c>
      <c r="F40" s="21">
        <v>313.7</v>
      </c>
      <c r="G40" s="21">
        <v>856</v>
      </c>
      <c r="H40" s="10" t="s">
        <v>164</v>
      </c>
      <c r="I40" s="10">
        <v>202.78</v>
      </c>
    </row>
    <row r="41" spans="1:9" ht="20" customHeight="1" x14ac:dyDescent="0.2">
      <c r="A41" s="10">
        <f t="shared" si="1"/>
        <v>40</v>
      </c>
      <c r="B41" s="10" t="s">
        <v>98</v>
      </c>
      <c r="C41" s="11" t="s">
        <v>99</v>
      </c>
      <c r="D41" s="12">
        <v>45211</v>
      </c>
      <c r="E41" s="12">
        <v>45394</v>
      </c>
      <c r="F41" s="21">
        <v>397.2</v>
      </c>
      <c r="G41" s="21">
        <v>617.9</v>
      </c>
      <c r="H41" s="10" t="s">
        <v>164</v>
      </c>
      <c r="I41" s="10">
        <v>54.97</v>
      </c>
    </row>
    <row r="42" spans="1:9" ht="20" customHeight="1" x14ac:dyDescent="0.2">
      <c r="A42" s="10">
        <f t="shared" si="1"/>
        <v>41</v>
      </c>
      <c r="B42" s="10" t="s">
        <v>100</v>
      </c>
      <c r="C42" s="11" t="s">
        <v>101</v>
      </c>
      <c r="D42" s="12">
        <v>45211</v>
      </c>
      <c r="E42" s="12">
        <v>45394</v>
      </c>
      <c r="F42" s="21">
        <v>330</v>
      </c>
      <c r="G42" s="21">
        <v>652.79999999999995</v>
      </c>
      <c r="H42" s="10" t="s">
        <v>164</v>
      </c>
      <c r="I42" s="10">
        <v>86.67</v>
      </c>
    </row>
    <row r="43" spans="1:9" ht="20" customHeight="1" x14ac:dyDescent="0.2">
      <c r="A43" s="10">
        <f t="shared" si="1"/>
        <v>42</v>
      </c>
      <c r="B43" s="10" t="s">
        <v>102</v>
      </c>
      <c r="C43" s="11" t="s">
        <v>103</v>
      </c>
      <c r="D43" s="12">
        <v>45228</v>
      </c>
      <c r="E43" s="12">
        <v>45411</v>
      </c>
      <c r="F43" s="21">
        <v>315</v>
      </c>
      <c r="G43" s="21">
        <v>445.1</v>
      </c>
      <c r="H43" s="10" t="s">
        <v>164</v>
      </c>
      <c r="I43" s="10">
        <v>41.3</v>
      </c>
    </row>
    <row r="44" spans="1:9" ht="20" customHeight="1" x14ac:dyDescent="0.2">
      <c r="A44" s="10">
        <f t="shared" si="1"/>
        <v>43</v>
      </c>
      <c r="B44" s="10" t="s">
        <v>104</v>
      </c>
      <c r="C44" s="11" t="s">
        <v>105</v>
      </c>
      <c r="D44" s="12">
        <v>45250</v>
      </c>
      <c r="E44" s="12">
        <v>45432</v>
      </c>
      <c r="F44" s="21">
        <v>259.60000000000002</v>
      </c>
      <c r="G44" s="21">
        <v>440</v>
      </c>
      <c r="H44" s="10" t="s">
        <v>164</v>
      </c>
      <c r="I44" s="10">
        <v>69.489999999999995</v>
      </c>
    </row>
    <row r="45" spans="1:9" ht="20" customHeight="1" x14ac:dyDescent="0.2">
      <c r="A45" s="10">
        <f t="shared" si="1"/>
        <v>44</v>
      </c>
      <c r="B45" s="10" t="s">
        <v>106</v>
      </c>
      <c r="C45" s="11" t="s">
        <v>107</v>
      </c>
      <c r="D45" s="12">
        <v>45267</v>
      </c>
      <c r="E45" s="12">
        <v>45450</v>
      </c>
      <c r="F45" s="21">
        <v>294.8</v>
      </c>
      <c r="G45" s="21">
        <v>453</v>
      </c>
      <c r="H45" s="10" t="s">
        <v>164</v>
      </c>
      <c r="I45" s="10">
        <v>51.63</v>
      </c>
    </row>
    <row r="46" spans="1:9" ht="20" customHeight="1" x14ac:dyDescent="0.2">
      <c r="A46" s="10">
        <f t="shared" si="1"/>
        <v>45</v>
      </c>
      <c r="B46" s="10" t="s">
        <v>108</v>
      </c>
      <c r="C46" s="11" t="s">
        <v>109</v>
      </c>
      <c r="D46" s="12">
        <v>45274</v>
      </c>
      <c r="E46" s="12">
        <v>45457</v>
      </c>
      <c r="F46" s="21">
        <v>196.6</v>
      </c>
      <c r="G46" s="21">
        <v>1139</v>
      </c>
      <c r="H46" s="10" t="s">
        <v>164</v>
      </c>
      <c r="I46" s="10">
        <v>510.89</v>
      </c>
    </row>
    <row r="47" spans="1:9" ht="20" customHeight="1" x14ac:dyDescent="0.2">
      <c r="A47" s="10">
        <f t="shared" si="1"/>
        <v>46</v>
      </c>
      <c r="B47" s="10" t="s">
        <v>110</v>
      </c>
      <c r="C47" s="11" t="s">
        <v>111</v>
      </c>
      <c r="D47" s="12">
        <v>45281</v>
      </c>
      <c r="E47" s="12">
        <v>45464</v>
      </c>
      <c r="F47" s="21">
        <v>330</v>
      </c>
      <c r="G47" s="21">
        <v>582.20000000000005</v>
      </c>
      <c r="H47" s="10" t="s">
        <v>164</v>
      </c>
      <c r="I47" s="10">
        <v>79.7</v>
      </c>
    </row>
    <row r="48" spans="1:9" ht="20" customHeight="1" x14ac:dyDescent="0.2">
      <c r="A48" s="10">
        <f t="shared" si="1"/>
        <v>47</v>
      </c>
      <c r="B48" s="10" t="s">
        <v>112</v>
      </c>
      <c r="C48" s="11" t="s">
        <v>113</v>
      </c>
      <c r="D48" s="12">
        <v>45281</v>
      </c>
      <c r="E48" s="12">
        <v>45464</v>
      </c>
      <c r="F48" s="21">
        <v>229.6</v>
      </c>
      <c r="G48" s="21">
        <v>832</v>
      </c>
      <c r="H48" s="10" t="s">
        <v>164</v>
      </c>
      <c r="I48" s="10">
        <v>274.52</v>
      </c>
    </row>
    <row r="49" spans="1:9" ht="20" customHeight="1" x14ac:dyDescent="0.2">
      <c r="A49" s="10">
        <f t="shared" si="1"/>
        <v>48</v>
      </c>
      <c r="B49" s="10" t="s">
        <v>114</v>
      </c>
      <c r="C49" s="11" t="s">
        <v>115</v>
      </c>
      <c r="D49" s="12">
        <v>45281</v>
      </c>
      <c r="E49" s="12">
        <v>45464</v>
      </c>
      <c r="F49" s="21">
        <v>401.8</v>
      </c>
      <c r="G49" s="21">
        <v>512</v>
      </c>
      <c r="H49" s="10" t="s">
        <v>164</v>
      </c>
      <c r="I49" s="10">
        <v>25.96</v>
      </c>
    </row>
    <row r="50" spans="1:9" ht="20" customHeight="1" x14ac:dyDescent="0.2">
      <c r="A50" s="10">
        <f t="shared" si="1"/>
        <v>49</v>
      </c>
      <c r="B50" s="10" t="s">
        <v>116</v>
      </c>
      <c r="C50" s="11" t="s">
        <v>117</v>
      </c>
      <c r="D50" s="12">
        <v>45299</v>
      </c>
      <c r="E50" s="12">
        <v>45481</v>
      </c>
      <c r="F50" s="21">
        <v>340.1</v>
      </c>
      <c r="G50" s="21">
        <v>562</v>
      </c>
      <c r="H50" s="10" t="s">
        <v>164</v>
      </c>
      <c r="I50" s="10">
        <v>71.92</v>
      </c>
    </row>
    <row r="51" spans="1:9" ht="20" customHeight="1" x14ac:dyDescent="0.2">
      <c r="A51" s="10">
        <f t="shared" si="1"/>
        <v>50</v>
      </c>
      <c r="B51" s="10" t="s">
        <v>119</v>
      </c>
      <c r="C51" s="11" t="s">
        <v>120</v>
      </c>
      <c r="D51" s="12">
        <v>45370</v>
      </c>
      <c r="E51" s="12">
        <v>45554</v>
      </c>
      <c r="F51" s="21">
        <v>611.6</v>
      </c>
      <c r="G51" s="21">
        <v>770.7</v>
      </c>
      <c r="H51" s="10" t="s">
        <v>164</v>
      </c>
      <c r="I51" s="10">
        <v>30.31</v>
      </c>
    </row>
    <row r="52" spans="1:9" ht="20" customHeight="1" x14ac:dyDescent="0.2">
      <c r="A52" s="10">
        <f t="shared" si="1"/>
        <v>51</v>
      </c>
      <c r="B52" s="10" t="s">
        <v>121</v>
      </c>
      <c r="C52" s="11" t="s">
        <v>122</v>
      </c>
      <c r="D52" s="12">
        <v>45697</v>
      </c>
      <c r="E52" s="12">
        <v>45878</v>
      </c>
      <c r="F52" s="21">
        <v>331.1</v>
      </c>
      <c r="G52" s="21">
        <v>2082.5100000000002</v>
      </c>
      <c r="H52" s="10" t="s">
        <v>164</v>
      </c>
      <c r="I52" s="10">
        <v>534.76</v>
      </c>
    </row>
    <row r="53" spans="1:9" ht="20" customHeight="1" x14ac:dyDescent="0.2">
      <c r="A53" s="10">
        <f t="shared" si="1"/>
        <v>52</v>
      </c>
      <c r="B53" s="10" t="s">
        <v>123</v>
      </c>
      <c r="C53" s="11" t="s">
        <v>124</v>
      </c>
      <c r="D53" s="12">
        <v>45755</v>
      </c>
      <c r="E53" s="12">
        <v>45938</v>
      </c>
      <c r="F53" s="21">
        <v>332.5</v>
      </c>
      <c r="G53" s="21">
        <v>1100</v>
      </c>
      <c r="H53" s="10" t="s">
        <v>164</v>
      </c>
      <c r="I53" s="10">
        <v>230.83</v>
      </c>
    </row>
    <row r="54" spans="1:9" ht="20" customHeight="1" x14ac:dyDescent="0.2">
      <c r="A54" s="10">
        <f t="shared" si="1"/>
        <v>53</v>
      </c>
      <c r="B54" s="10" t="s">
        <v>125</v>
      </c>
      <c r="C54" s="11" t="s">
        <v>126</v>
      </c>
      <c r="D54" s="12">
        <v>45757</v>
      </c>
      <c r="E54" s="12">
        <v>45940</v>
      </c>
      <c r="F54" s="21">
        <v>332.7</v>
      </c>
      <c r="G54" s="21">
        <v>1065</v>
      </c>
      <c r="H54" s="10" t="s">
        <v>164</v>
      </c>
      <c r="I54" s="10">
        <v>214.4</v>
      </c>
    </row>
    <row r="55" spans="1:9" ht="20" customHeight="1" x14ac:dyDescent="0.2">
      <c r="A55" s="10">
        <f t="shared" si="1"/>
        <v>54</v>
      </c>
      <c r="B55" s="10" t="s">
        <v>127</v>
      </c>
      <c r="C55" s="11" t="s">
        <v>128</v>
      </c>
      <c r="D55" s="12">
        <v>45781</v>
      </c>
      <c r="E55" s="12">
        <v>45965</v>
      </c>
      <c r="F55" s="21">
        <v>297</v>
      </c>
      <c r="G55" s="21">
        <v>1216.0999999999999</v>
      </c>
      <c r="H55" s="10" t="s">
        <v>164</v>
      </c>
      <c r="I55" s="10">
        <v>309.45999999999998</v>
      </c>
    </row>
    <row r="56" spans="1:9" ht="20" customHeight="1" x14ac:dyDescent="0.2">
      <c r="A56" s="10">
        <f t="shared" si="1"/>
        <v>55</v>
      </c>
      <c r="B56" s="10" t="s">
        <v>129</v>
      </c>
      <c r="C56" s="11" t="s">
        <v>130</v>
      </c>
      <c r="D56" s="12">
        <v>45804</v>
      </c>
      <c r="E56" s="12">
        <v>45988</v>
      </c>
      <c r="F56" s="21">
        <v>318.2</v>
      </c>
      <c r="G56" s="21">
        <v>900</v>
      </c>
      <c r="H56" s="10" t="s">
        <v>164</v>
      </c>
      <c r="I56" s="10">
        <v>182.84</v>
      </c>
    </row>
    <row r="57" spans="1:9" ht="20" customHeight="1" x14ac:dyDescent="0.2">
      <c r="A57" s="10">
        <f t="shared" si="1"/>
        <v>56</v>
      </c>
      <c r="B57" s="10" t="s">
        <v>131</v>
      </c>
      <c r="C57" s="11" t="s">
        <v>132</v>
      </c>
      <c r="D57" s="12">
        <v>45855</v>
      </c>
      <c r="E57" s="12">
        <v>46039</v>
      </c>
      <c r="F57" s="21">
        <v>402.7</v>
      </c>
      <c r="G57" s="21">
        <v>860</v>
      </c>
      <c r="H57" s="10" t="s">
        <v>164</v>
      </c>
      <c r="I57" s="10">
        <v>107.4</v>
      </c>
    </row>
    <row r="58" spans="1:9" ht="20" customHeight="1" x14ac:dyDescent="0.2">
      <c r="A58" s="10">
        <f t="shared" si="1"/>
        <v>57</v>
      </c>
      <c r="B58" s="10" t="s">
        <v>133</v>
      </c>
      <c r="C58" s="11" t="s">
        <v>134</v>
      </c>
      <c r="D58" s="12">
        <v>45858</v>
      </c>
      <c r="E58" s="12">
        <v>46042</v>
      </c>
      <c r="F58" s="21">
        <v>394.9</v>
      </c>
      <c r="G58" s="21">
        <v>824</v>
      </c>
      <c r="H58" s="10" t="s">
        <v>164</v>
      </c>
      <c r="I58" s="10">
        <v>108.66</v>
      </c>
    </row>
    <row r="59" spans="1:9" ht="20" customHeight="1" x14ac:dyDescent="0.2">
      <c r="A59" s="10">
        <f t="shared" si="1"/>
        <v>58</v>
      </c>
      <c r="B59" s="10" t="s">
        <v>135</v>
      </c>
      <c r="C59" s="11" t="s">
        <v>136</v>
      </c>
      <c r="D59" s="12">
        <v>45889</v>
      </c>
      <c r="E59" s="12">
        <v>46073</v>
      </c>
      <c r="F59" s="21">
        <v>321.3</v>
      </c>
      <c r="G59" s="21">
        <v>557.70000000000005</v>
      </c>
      <c r="H59" s="10" t="s">
        <v>164</v>
      </c>
      <c r="I59" s="10">
        <v>78.650000000000006</v>
      </c>
    </row>
    <row r="60" spans="1:9" ht="20" customHeight="1" x14ac:dyDescent="0.2">
      <c r="A60" s="10">
        <f t="shared" si="1"/>
        <v>59</v>
      </c>
      <c r="B60" s="10" t="s">
        <v>137</v>
      </c>
      <c r="C60" s="11" t="s">
        <v>138</v>
      </c>
      <c r="D60" s="12">
        <v>45901</v>
      </c>
      <c r="E60" s="12">
        <v>46082</v>
      </c>
      <c r="F60" s="21">
        <v>267.5</v>
      </c>
      <c r="G60" s="21">
        <v>1015.9</v>
      </c>
      <c r="H60" s="10" t="s">
        <v>164</v>
      </c>
      <c r="I60" s="10">
        <v>279.77999999999997</v>
      </c>
    </row>
    <row r="61" spans="1:9" ht="20" customHeight="1" x14ac:dyDescent="0.2">
      <c r="A61" s="10">
        <f t="shared" si="1"/>
        <v>60</v>
      </c>
      <c r="B61" s="10" t="s">
        <v>139</v>
      </c>
      <c r="C61" s="11" t="s">
        <v>140</v>
      </c>
      <c r="D61" s="12">
        <v>45965</v>
      </c>
      <c r="E61" s="12">
        <v>46146</v>
      </c>
      <c r="F61" s="21">
        <v>349.4</v>
      </c>
      <c r="G61" s="21">
        <v>648.29999999999995</v>
      </c>
      <c r="H61" s="10" t="s">
        <v>164</v>
      </c>
      <c r="I61" s="10">
        <v>85.55</v>
      </c>
    </row>
    <row r="62" spans="1:9" ht="20" customHeight="1" x14ac:dyDescent="0.2">
      <c r="A62" s="10">
        <f t="shared" si="1"/>
        <v>61</v>
      </c>
      <c r="B62" s="10" t="s">
        <v>141</v>
      </c>
      <c r="C62" s="11" t="s">
        <v>142</v>
      </c>
      <c r="D62" s="12">
        <v>45967</v>
      </c>
      <c r="E62" s="12">
        <v>46148</v>
      </c>
      <c r="F62" s="21">
        <v>442.4</v>
      </c>
      <c r="G62" s="21">
        <v>585</v>
      </c>
      <c r="H62" s="10" t="s">
        <v>164</v>
      </c>
      <c r="I62" s="10">
        <v>32.229999999999997</v>
      </c>
    </row>
    <row r="63" spans="1:9" ht="20" customHeight="1" x14ac:dyDescent="0.2">
      <c r="A63" s="10">
        <f t="shared" si="1"/>
        <v>62</v>
      </c>
      <c r="B63" s="10" t="s">
        <v>143</v>
      </c>
      <c r="C63" s="11" t="s">
        <v>144</v>
      </c>
      <c r="D63" s="12">
        <v>45970</v>
      </c>
      <c r="E63" s="12">
        <v>46151</v>
      </c>
      <c r="F63" s="21">
        <v>351.4</v>
      </c>
      <c r="G63" s="21">
        <v>1729</v>
      </c>
      <c r="H63" s="10" t="s">
        <v>164</v>
      </c>
      <c r="I63" s="10">
        <v>392.03</v>
      </c>
    </row>
    <row r="64" spans="1:9" ht="20" customHeight="1" x14ac:dyDescent="0.2">
      <c r="A64" s="10">
        <f t="shared" si="1"/>
        <v>63</v>
      </c>
      <c r="B64" s="10" t="s">
        <v>145</v>
      </c>
      <c r="C64" s="11" t="s">
        <v>146</v>
      </c>
      <c r="D64" s="12">
        <v>45971</v>
      </c>
      <c r="E64" s="12">
        <v>46151</v>
      </c>
      <c r="F64" s="21">
        <v>332.6</v>
      </c>
      <c r="G64" s="21">
        <v>569.1</v>
      </c>
      <c r="H64" s="10" t="s">
        <v>164</v>
      </c>
      <c r="I64" s="10">
        <v>71.11</v>
      </c>
    </row>
    <row r="65" spans="1:9" ht="20" customHeight="1" x14ac:dyDescent="0.2">
      <c r="A65" s="10">
        <f t="shared" si="1"/>
        <v>64</v>
      </c>
      <c r="B65" s="10" t="s">
        <v>147</v>
      </c>
      <c r="C65" s="11" t="s">
        <v>148</v>
      </c>
      <c r="D65" s="12">
        <v>45972</v>
      </c>
      <c r="E65" s="12">
        <v>46151</v>
      </c>
      <c r="F65" s="21">
        <v>313.5</v>
      </c>
      <c r="G65" s="21">
        <v>832</v>
      </c>
      <c r="H65" s="10" t="s">
        <v>164</v>
      </c>
      <c r="I65" s="10">
        <v>165.39</v>
      </c>
    </row>
    <row r="66" spans="1:9" ht="20" customHeight="1" x14ac:dyDescent="0.2">
      <c r="A66" s="10">
        <f t="shared" ref="A66:A71" si="2">ROW()-1</f>
        <v>65</v>
      </c>
      <c r="B66" s="10" t="s">
        <v>149</v>
      </c>
      <c r="C66" s="11" t="s">
        <v>150</v>
      </c>
      <c r="D66" s="12">
        <v>45972</v>
      </c>
      <c r="E66" s="12">
        <v>46151</v>
      </c>
      <c r="F66" s="21">
        <v>407.4</v>
      </c>
      <c r="G66" s="21">
        <v>2485</v>
      </c>
      <c r="H66" s="10" t="s">
        <v>164</v>
      </c>
      <c r="I66" s="10">
        <v>509.97</v>
      </c>
    </row>
    <row r="67" spans="1:9" ht="20" customHeight="1" x14ac:dyDescent="0.2">
      <c r="A67" s="10">
        <f t="shared" si="2"/>
        <v>66</v>
      </c>
      <c r="B67" s="10" t="s">
        <v>151</v>
      </c>
      <c r="C67" s="11" t="s">
        <v>152</v>
      </c>
      <c r="D67" s="12">
        <v>45977</v>
      </c>
      <c r="E67" s="12">
        <v>46151</v>
      </c>
      <c r="F67" s="21">
        <v>311.2</v>
      </c>
      <c r="G67" s="21">
        <v>1840</v>
      </c>
      <c r="H67" s="10" t="s">
        <v>164</v>
      </c>
      <c r="I67" s="10">
        <v>491.26</v>
      </c>
    </row>
    <row r="68" spans="1:9" ht="20" customHeight="1" x14ac:dyDescent="0.2">
      <c r="A68" s="10">
        <f t="shared" si="2"/>
        <v>67</v>
      </c>
      <c r="B68" s="10" t="s">
        <v>153</v>
      </c>
      <c r="C68" s="11" t="s">
        <v>154</v>
      </c>
      <c r="D68" s="12">
        <v>45985</v>
      </c>
      <c r="E68" s="12">
        <v>46151</v>
      </c>
      <c r="F68" s="21">
        <v>331.8</v>
      </c>
      <c r="G68" s="21">
        <v>1145</v>
      </c>
      <c r="H68" s="10" t="s">
        <v>164</v>
      </c>
      <c r="I68" s="10">
        <v>245.09</v>
      </c>
    </row>
    <row r="69" spans="1:9" ht="20" customHeight="1" x14ac:dyDescent="0.2">
      <c r="A69" s="10">
        <f t="shared" si="2"/>
        <v>68</v>
      </c>
      <c r="B69" s="10" t="s">
        <v>155</v>
      </c>
      <c r="C69" s="11" t="s">
        <v>156</v>
      </c>
      <c r="D69" s="12">
        <v>46001</v>
      </c>
      <c r="E69" s="12">
        <v>46151</v>
      </c>
      <c r="F69" s="21">
        <v>351.7</v>
      </c>
      <c r="G69" s="21">
        <v>1465</v>
      </c>
      <c r="H69" s="10" t="s">
        <v>164</v>
      </c>
      <c r="I69" s="10">
        <v>316.55</v>
      </c>
    </row>
    <row r="70" spans="1:9" ht="20" customHeight="1" x14ac:dyDescent="0.2">
      <c r="A70" s="10">
        <f t="shared" si="2"/>
        <v>69</v>
      </c>
      <c r="B70" s="10" t="s">
        <v>157</v>
      </c>
      <c r="C70" s="10" t="s">
        <v>157</v>
      </c>
      <c r="D70" s="12">
        <v>46069</v>
      </c>
      <c r="E70" s="12">
        <v>46151</v>
      </c>
      <c r="F70" s="21">
        <v>330</v>
      </c>
      <c r="G70" s="21">
        <v>361.8</v>
      </c>
      <c r="H70" s="10" t="s">
        <v>164</v>
      </c>
      <c r="I70" s="10">
        <v>9.64</v>
      </c>
    </row>
    <row r="71" spans="1:9" ht="20" customHeight="1" x14ac:dyDescent="0.2">
      <c r="A71" s="10">
        <f t="shared" si="2"/>
        <v>70</v>
      </c>
      <c r="B71" s="10" t="s">
        <v>158</v>
      </c>
      <c r="C71" s="11" t="s">
        <v>159</v>
      </c>
      <c r="D71" s="12">
        <v>46069</v>
      </c>
      <c r="E71" s="12">
        <v>46151</v>
      </c>
      <c r="F71" s="21">
        <v>330</v>
      </c>
      <c r="G71" s="21">
        <v>1235</v>
      </c>
      <c r="H71" s="9" t="s">
        <v>164</v>
      </c>
      <c r="I71" s="9">
        <v>274.24</v>
      </c>
    </row>
    <row r="72" spans="1:9" x14ac:dyDescent="0.2">
      <c r="H72" s="32" t="s">
        <v>160</v>
      </c>
      <c r="I72" s="35">
        <f>AVERAGE(I2:I71)</f>
        <v>118.98814285714283</v>
      </c>
    </row>
    <row r="73" spans="1:9" x14ac:dyDescent="0.2">
      <c r="H73" s="32" t="s">
        <v>161</v>
      </c>
      <c r="I73" s="35">
        <f>((1+I72/100)^(365/180)-1)*100</f>
        <v>390.11424902241617</v>
      </c>
    </row>
    <row r="74" spans="1:9" x14ac:dyDescent="0.2">
      <c r="H74" s="32" t="s">
        <v>166</v>
      </c>
      <c r="I74" s="35">
        <f>MEDIAN(I2:I71)</f>
        <v>64.795000000000002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4"/>
  <sheetViews>
    <sheetView topLeftCell="A63" zoomScale="140" zoomScaleNormal="140" workbookViewId="0">
      <selection activeCell="H72" sqref="H72:I74"/>
    </sheetView>
  </sheetViews>
  <sheetFormatPr baseColWidth="10" defaultRowHeight="16" x14ac:dyDescent="0.2"/>
  <cols>
    <col min="3" max="3" width="44" bestFit="1" customWidth="1"/>
    <col min="5" max="5" width="12" bestFit="1" customWidth="1"/>
    <col min="6" max="6" width="15" bestFit="1" customWidth="1"/>
    <col min="7" max="7" width="12" bestFit="1" customWidth="1"/>
    <col min="8" max="8" width="12.5" bestFit="1" customWidth="1"/>
    <col min="9" max="9" width="12.83203125" bestFit="1" customWidth="1"/>
  </cols>
  <sheetData>
    <row r="1" spans="1:9" ht="3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168</v>
      </c>
      <c r="G1" s="1" t="s">
        <v>169</v>
      </c>
      <c r="H1" s="1" t="s">
        <v>1</v>
      </c>
      <c r="I1" s="5" t="s">
        <v>18</v>
      </c>
    </row>
    <row r="2" spans="1:9" ht="20" customHeight="1" x14ac:dyDescent="0.2">
      <c r="A2" s="10">
        <f t="shared" ref="A2:A33" si="0">ROW()-1</f>
        <v>1</v>
      </c>
      <c r="B2" s="10" t="s">
        <v>19</v>
      </c>
      <c r="C2" s="11" t="s">
        <v>20</v>
      </c>
      <c r="D2" s="12">
        <v>44850</v>
      </c>
      <c r="E2" s="12">
        <v>45215</v>
      </c>
      <c r="F2" s="21">
        <v>255.7</v>
      </c>
      <c r="G2" s="21">
        <v>214</v>
      </c>
      <c r="H2" s="10" t="s">
        <v>165</v>
      </c>
      <c r="I2" s="10">
        <v>-16.309999999999999</v>
      </c>
    </row>
    <row r="3" spans="1:9" ht="20" customHeight="1" x14ac:dyDescent="0.2">
      <c r="A3" s="10">
        <f t="shared" si="0"/>
        <v>2</v>
      </c>
      <c r="B3" s="10" t="s">
        <v>22</v>
      </c>
      <c r="C3" s="11" t="s">
        <v>23</v>
      </c>
      <c r="D3" s="12">
        <v>44851</v>
      </c>
      <c r="E3" s="12">
        <v>45216</v>
      </c>
      <c r="F3" s="21">
        <v>214.2</v>
      </c>
      <c r="G3" s="21">
        <v>516.1</v>
      </c>
      <c r="H3" s="10" t="s">
        <v>165</v>
      </c>
      <c r="I3" s="10">
        <v>140.94</v>
      </c>
    </row>
    <row r="4" spans="1:9" ht="20" customHeight="1" x14ac:dyDescent="0.2">
      <c r="A4" s="10">
        <f t="shared" si="0"/>
        <v>3</v>
      </c>
      <c r="B4" s="10" t="s">
        <v>24</v>
      </c>
      <c r="C4" s="11" t="s">
        <v>25</v>
      </c>
      <c r="D4" s="12">
        <v>44880</v>
      </c>
      <c r="E4" s="12">
        <v>45245</v>
      </c>
      <c r="F4" s="21">
        <v>321</v>
      </c>
      <c r="G4" s="21">
        <v>345.3</v>
      </c>
      <c r="H4" s="10" t="s">
        <v>165</v>
      </c>
      <c r="I4" s="10">
        <v>8.26</v>
      </c>
    </row>
    <row r="5" spans="1:9" ht="20" customHeight="1" x14ac:dyDescent="0.2">
      <c r="A5" s="10">
        <f t="shared" si="0"/>
        <v>4</v>
      </c>
      <c r="B5" s="10" t="s">
        <v>26</v>
      </c>
      <c r="C5" s="11" t="s">
        <v>27</v>
      </c>
      <c r="D5" s="12">
        <v>44909</v>
      </c>
      <c r="E5" s="12">
        <v>45274</v>
      </c>
      <c r="F5" s="21">
        <v>237.6</v>
      </c>
      <c r="G5" s="21">
        <v>348</v>
      </c>
      <c r="H5" s="10" t="s">
        <v>165</v>
      </c>
      <c r="I5" s="10">
        <v>46.46</v>
      </c>
    </row>
    <row r="6" spans="1:9" ht="20" customHeight="1" x14ac:dyDescent="0.2">
      <c r="A6" s="10">
        <f t="shared" si="0"/>
        <v>5</v>
      </c>
      <c r="B6" s="10" t="s">
        <v>28</v>
      </c>
      <c r="C6" s="11" t="s">
        <v>29</v>
      </c>
      <c r="D6" s="12">
        <v>44909</v>
      </c>
      <c r="E6" s="12">
        <v>45274</v>
      </c>
      <c r="F6" s="21">
        <v>270</v>
      </c>
      <c r="G6" s="21">
        <v>269.3</v>
      </c>
      <c r="H6" s="10" t="s">
        <v>165</v>
      </c>
      <c r="I6" s="10">
        <v>-0.26</v>
      </c>
    </row>
    <row r="7" spans="1:9" ht="20" customHeight="1" x14ac:dyDescent="0.2">
      <c r="A7" s="10">
        <f t="shared" si="0"/>
        <v>6</v>
      </c>
      <c r="B7" s="10" t="s">
        <v>30</v>
      </c>
      <c r="C7" s="11" t="s">
        <v>31</v>
      </c>
      <c r="D7" s="12">
        <v>44915</v>
      </c>
      <c r="E7" s="12">
        <v>45280</v>
      </c>
      <c r="F7" s="21">
        <v>996.6</v>
      </c>
      <c r="G7" s="21">
        <v>1031</v>
      </c>
      <c r="H7" s="10" t="s">
        <v>165</v>
      </c>
      <c r="I7" s="10">
        <v>3.45</v>
      </c>
    </row>
    <row r="8" spans="1:9" ht="20" customHeight="1" x14ac:dyDescent="0.2">
      <c r="A8" s="10">
        <f t="shared" si="0"/>
        <v>7</v>
      </c>
      <c r="B8" s="10" t="s">
        <v>32</v>
      </c>
      <c r="C8" s="11" t="s">
        <v>33</v>
      </c>
      <c r="D8" s="12">
        <v>44930</v>
      </c>
      <c r="E8" s="12">
        <v>45295</v>
      </c>
      <c r="F8" s="21">
        <v>213.7</v>
      </c>
      <c r="G8" s="21">
        <v>443</v>
      </c>
      <c r="H8" s="10" t="s">
        <v>165</v>
      </c>
      <c r="I8" s="10">
        <v>107.3</v>
      </c>
    </row>
    <row r="9" spans="1:9" ht="20" customHeight="1" x14ac:dyDescent="0.2">
      <c r="A9" s="10">
        <f t="shared" si="0"/>
        <v>8</v>
      </c>
      <c r="B9" s="10" t="s">
        <v>34</v>
      </c>
      <c r="C9" s="11" t="s">
        <v>35</v>
      </c>
      <c r="D9" s="12">
        <v>44990</v>
      </c>
      <c r="E9" s="12">
        <v>45356</v>
      </c>
      <c r="F9" s="21">
        <v>328.9</v>
      </c>
      <c r="G9" s="21">
        <v>445.2</v>
      </c>
      <c r="H9" s="10" t="s">
        <v>165</v>
      </c>
      <c r="I9" s="10">
        <v>35.97</v>
      </c>
    </row>
    <row r="10" spans="1:9" ht="20" customHeight="1" x14ac:dyDescent="0.2">
      <c r="A10" s="10">
        <f t="shared" si="0"/>
        <v>9</v>
      </c>
      <c r="B10" s="10" t="s">
        <v>36</v>
      </c>
      <c r="C10" s="11" t="s">
        <v>37</v>
      </c>
      <c r="D10" s="12">
        <v>44992</v>
      </c>
      <c r="E10" s="12">
        <v>45358</v>
      </c>
      <c r="F10" s="21">
        <v>291.5</v>
      </c>
      <c r="G10" s="21">
        <v>664</v>
      </c>
      <c r="H10" s="10" t="s">
        <v>165</v>
      </c>
      <c r="I10" s="10">
        <v>127.79</v>
      </c>
    </row>
    <row r="11" spans="1:9" ht="20" customHeight="1" x14ac:dyDescent="0.2">
      <c r="A11" s="10">
        <f t="shared" si="0"/>
        <v>10</v>
      </c>
      <c r="B11" s="10" t="s">
        <v>38</v>
      </c>
      <c r="C11" s="11" t="s">
        <v>39</v>
      </c>
      <c r="D11" s="12">
        <v>45007</v>
      </c>
      <c r="E11" s="12">
        <v>45373</v>
      </c>
      <c r="F11" s="21">
        <v>292</v>
      </c>
      <c r="G11" s="21">
        <v>290</v>
      </c>
      <c r="H11" s="10" t="s">
        <v>165</v>
      </c>
      <c r="I11" s="10">
        <v>-2.0499999999999998</v>
      </c>
    </row>
    <row r="12" spans="1:9" ht="20" customHeight="1" x14ac:dyDescent="0.2">
      <c r="A12" s="10">
        <f t="shared" si="0"/>
        <v>11</v>
      </c>
      <c r="B12" s="10" t="s">
        <v>40</v>
      </c>
      <c r="C12" s="11" t="s">
        <v>41</v>
      </c>
      <c r="D12" s="12">
        <v>45008</v>
      </c>
      <c r="E12" s="12">
        <v>45374</v>
      </c>
      <c r="F12" s="21">
        <v>328.6</v>
      </c>
      <c r="G12" s="21">
        <v>427</v>
      </c>
      <c r="H12" s="10" t="s">
        <v>165</v>
      </c>
      <c r="I12" s="10">
        <v>32.99</v>
      </c>
    </row>
    <row r="13" spans="1:9" ht="20" customHeight="1" x14ac:dyDescent="0.2">
      <c r="A13" s="10">
        <f t="shared" si="0"/>
        <v>12</v>
      </c>
      <c r="B13" s="10" t="s">
        <v>42</v>
      </c>
      <c r="C13" s="11" t="s">
        <v>43</v>
      </c>
      <c r="D13" s="12">
        <v>45008</v>
      </c>
      <c r="E13" s="12">
        <v>45374</v>
      </c>
      <c r="F13" s="21">
        <v>139.69999999999999</v>
      </c>
      <c r="G13" s="21">
        <v>775</v>
      </c>
      <c r="H13" s="10" t="s">
        <v>165</v>
      </c>
      <c r="I13" s="10">
        <v>465.5</v>
      </c>
    </row>
    <row r="14" spans="1:9" ht="20" customHeight="1" x14ac:dyDescent="0.2">
      <c r="A14" s="10">
        <f t="shared" si="0"/>
        <v>13</v>
      </c>
      <c r="B14" s="10" t="s">
        <v>44</v>
      </c>
      <c r="C14" s="11" t="s">
        <v>45</v>
      </c>
      <c r="D14" s="12">
        <v>45012</v>
      </c>
      <c r="E14" s="12">
        <v>45378</v>
      </c>
      <c r="F14" s="21">
        <v>430.1</v>
      </c>
      <c r="G14" s="21">
        <v>678</v>
      </c>
      <c r="H14" s="10" t="s">
        <v>165</v>
      </c>
      <c r="I14" s="10">
        <v>57.64</v>
      </c>
    </row>
    <row r="15" spans="1:9" ht="20" customHeight="1" x14ac:dyDescent="0.2">
      <c r="A15" s="10">
        <f t="shared" si="0"/>
        <v>14</v>
      </c>
      <c r="B15" s="10" t="s">
        <v>46</v>
      </c>
      <c r="C15" s="11" t="s">
        <v>47</v>
      </c>
      <c r="D15" s="12">
        <v>45026</v>
      </c>
      <c r="E15" s="12">
        <v>45392</v>
      </c>
      <c r="F15" s="21">
        <v>324.5</v>
      </c>
      <c r="G15" s="21">
        <v>384.3</v>
      </c>
      <c r="H15" s="10" t="s">
        <v>165</v>
      </c>
      <c r="I15" s="10">
        <v>18.43</v>
      </c>
    </row>
    <row r="16" spans="1:9" ht="20" customHeight="1" x14ac:dyDescent="0.2">
      <c r="A16" s="10">
        <f t="shared" si="0"/>
        <v>15</v>
      </c>
      <c r="B16" s="10" t="s">
        <v>48</v>
      </c>
      <c r="C16" s="11" t="s">
        <v>49</v>
      </c>
      <c r="D16" s="12">
        <v>45029</v>
      </c>
      <c r="E16" s="12">
        <v>45395</v>
      </c>
      <c r="F16" s="21">
        <v>155.1</v>
      </c>
      <c r="G16" s="21">
        <v>417</v>
      </c>
      <c r="H16" s="10" t="s">
        <v>165</v>
      </c>
      <c r="I16" s="10">
        <v>173.37</v>
      </c>
    </row>
    <row r="17" spans="1:9" ht="20" customHeight="1" x14ac:dyDescent="0.2">
      <c r="A17" s="10">
        <f t="shared" si="0"/>
        <v>16</v>
      </c>
      <c r="B17" s="10" t="s">
        <v>50</v>
      </c>
      <c r="C17" s="11" t="s">
        <v>51</v>
      </c>
      <c r="D17" s="12">
        <v>45029</v>
      </c>
      <c r="E17" s="12">
        <v>45395</v>
      </c>
      <c r="F17" s="21">
        <v>340</v>
      </c>
      <c r="G17" s="21">
        <v>387.9</v>
      </c>
      <c r="H17" s="10" t="s">
        <v>165</v>
      </c>
      <c r="I17" s="10">
        <v>12.94</v>
      </c>
    </row>
    <row r="18" spans="1:9" ht="20" customHeight="1" x14ac:dyDescent="0.2">
      <c r="A18" s="10">
        <f t="shared" si="0"/>
        <v>17</v>
      </c>
      <c r="B18" s="10" t="s">
        <v>52</v>
      </c>
      <c r="C18" s="11" t="s">
        <v>53</v>
      </c>
      <c r="D18" s="12">
        <v>45048</v>
      </c>
      <c r="E18" s="12">
        <v>45414</v>
      </c>
      <c r="F18" s="21">
        <v>436.9</v>
      </c>
      <c r="G18" s="21">
        <v>1997</v>
      </c>
      <c r="H18" s="10" t="s">
        <v>165</v>
      </c>
      <c r="I18" s="10">
        <v>403.94</v>
      </c>
    </row>
    <row r="19" spans="1:9" ht="20" customHeight="1" x14ac:dyDescent="0.2">
      <c r="A19" s="10">
        <f t="shared" si="0"/>
        <v>18</v>
      </c>
      <c r="B19" s="10" t="s">
        <v>54</v>
      </c>
      <c r="C19" s="11" t="s">
        <v>55</v>
      </c>
      <c r="D19" s="12">
        <v>45053</v>
      </c>
      <c r="E19" s="12">
        <v>45419</v>
      </c>
      <c r="F19" s="21">
        <v>255</v>
      </c>
      <c r="G19" s="21">
        <v>351.9</v>
      </c>
      <c r="H19" s="10" t="s">
        <v>165</v>
      </c>
      <c r="I19" s="10">
        <v>38</v>
      </c>
    </row>
    <row r="20" spans="1:9" ht="20" customHeight="1" x14ac:dyDescent="0.2">
      <c r="A20" s="10">
        <f t="shared" si="0"/>
        <v>19</v>
      </c>
      <c r="B20" s="10" t="s">
        <v>56</v>
      </c>
      <c r="C20" s="11" t="s">
        <v>57</v>
      </c>
      <c r="D20" s="12">
        <v>45062</v>
      </c>
      <c r="E20" s="12">
        <v>45428</v>
      </c>
      <c r="F20" s="21">
        <v>301.5</v>
      </c>
      <c r="G20" s="21">
        <v>408</v>
      </c>
      <c r="H20" s="10" t="s">
        <v>165</v>
      </c>
      <c r="I20" s="10">
        <v>35.32</v>
      </c>
    </row>
    <row r="21" spans="1:9" ht="20" customHeight="1" x14ac:dyDescent="0.2">
      <c r="A21" s="10">
        <f t="shared" si="0"/>
        <v>20</v>
      </c>
      <c r="B21" s="10" t="s">
        <v>58</v>
      </c>
      <c r="C21" s="11" t="s">
        <v>59</v>
      </c>
      <c r="D21" s="12">
        <v>45085</v>
      </c>
      <c r="E21" s="12">
        <v>45451</v>
      </c>
      <c r="F21" s="21">
        <v>223</v>
      </c>
      <c r="G21" s="21">
        <v>421</v>
      </c>
      <c r="H21" s="10" t="s">
        <v>165</v>
      </c>
      <c r="I21" s="10">
        <v>78.03</v>
      </c>
    </row>
    <row r="22" spans="1:9" ht="20" customHeight="1" x14ac:dyDescent="0.2">
      <c r="A22" s="10">
        <f t="shared" si="0"/>
        <v>21</v>
      </c>
      <c r="B22" s="10" t="s">
        <v>60</v>
      </c>
      <c r="C22" s="11" t="s">
        <v>61</v>
      </c>
      <c r="D22" s="12">
        <v>45085</v>
      </c>
      <c r="E22" s="12">
        <v>45451</v>
      </c>
      <c r="F22" s="21">
        <v>287.10000000000002</v>
      </c>
      <c r="G22" s="21">
        <v>433</v>
      </c>
      <c r="H22" s="10" t="s">
        <v>165</v>
      </c>
      <c r="I22" s="10">
        <v>49.77</v>
      </c>
    </row>
    <row r="23" spans="1:9" ht="20" customHeight="1" x14ac:dyDescent="0.2">
      <c r="A23" s="10">
        <f t="shared" si="0"/>
        <v>22</v>
      </c>
      <c r="B23" s="10" t="s">
        <v>62</v>
      </c>
      <c r="C23" s="11" t="s">
        <v>63</v>
      </c>
      <c r="D23" s="12">
        <v>45088</v>
      </c>
      <c r="E23" s="12">
        <v>45454</v>
      </c>
      <c r="F23" s="21">
        <v>122.2</v>
      </c>
      <c r="G23" s="21">
        <v>698</v>
      </c>
      <c r="H23" s="10" t="s">
        <v>165</v>
      </c>
      <c r="I23" s="10">
        <v>471.19</v>
      </c>
    </row>
    <row r="24" spans="1:9" ht="20" customHeight="1" x14ac:dyDescent="0.2">
      <c r="A24" s="10">
        <f t="shared" si="0"/>
        <v>23</v>
      </c>
      <c r="B24" s="10" t="s">
        <v>64</v>
      </c>
      <c r="C24" s="11" t="s">
        <v>65</v>
      </c>
      <c r="D24" s="12">
        <v>45095</v>
      </c>
      <c r="E24" s="12">
        <v>45461</v>
      </c>
      <c r="F24" s="21">
        <v>255.2</v>
      </c>
      <c r="G24" s="21">
        <v>415.3</v>
      </c>
      <c r="H24" s="10" t="s">
        <v>165</v>
      </c>
      <c r="I24" s="10">
        <v>62.74</v>
      </c>
    </row>
    <row r="25" spans="1:9" ht="20" customHeight="1" x14ac:dyDescent="0.2">
      <c r="A25" s="10">
        <f t="shared" si="0"/>
        <v>24</v>
      </c>
      <c r="B25" s="10" t="s">
        <v>66</v>
      </c>
      <c r="C25" s="11" t="s">
        <v>67</v>
      </c>
      <c r="D25" s="12">
        <v>45097</v>
      </c>
      <c r="E25" s="12">
        <v>45463</v>
      </c>
      <c r="F25" s="21">
        <v>320.89999999999998</v>
      </c>
      <c r="G25" s="21">
        <v>423</v>
      </c>
      <c r="H25" s="10" t="s">
        <v>165</v>
      </c>
      <c r="I25" s="10">
        <v>31.82</v>
      </c>
    </row>
    <row r="26" spans="1:9" ht="20" customHeight="1" x14ac:dyDescent="0.2">
      <c r="A26" s="10">
        <f t="shared" si="0"/>
        <v>25</v>
      </c>
      <c r="B26" s="10" t="s">
        <v>68</v>
      </c>
      <c r="C26" s="11" t="s">
        <v>69</v>
      </c>
      <c r="D26" s="12">
        <v>45112</v>
      </c>
      <c r="E26" s="12">
        <v>45478</v>
      </c>
      <c r="F26" s="21">
        <v>243</v>
      </c>
      <c r="G26" s="21">
        <v>223.4</v>
      </c>
      <c r="H26" s="10" t="s">
        <v>165</v>
      </c>
      <c r="I26" s="10">
        <v>-9.3800000000000008</v>
      </c>
    </row>
    <row r="27" spans="1:9" ht="20" customHeight="1" x14ac:dyDescent="0.2">
      <c r="A27" s="10">
        <f t="shared" si="0"/>
        <v>26</v>
      </c>
      <c r="B27" s="10" t="s">
        <v>70</v>
      </c>
      <c r="C27" s="11" t="s">
        <v>71</v>
      </c>
      <c r="D27" s="12">
        <v>45112</v>
      </c>
      <c r="E27" s="12">
        <v>45478</v>
      </c>
      <c r="F27" s="21">
        <v>274.2</v>
      </c>
      <c r="G27" s="21">
        <v>560</v>
      </c>
      <c r="H27" s="10" t="s">
        <v>165</v>
      </c>
      <c r="I27" s="10">
        <v>106.78</v>
      </c>
    </row>
    <row r="28" spans="1:9" ht="20" customHeight="1" x14ac:dyDescent="0.2">
      <c r="A28" s="10">
        <f t="shared" si="0"/>
        <v>27</v>
      </c>
      <c r="B28" s="10" t="s">
        <v>72</v>
      </c>
      <c r="C28" s="11" t="s">
        <v>73</v>
      </c>
      <c r="D28" s="12">
        <v>45144</v>
      </c>
      <c r="E28" s="12">
        <v>45510</v>
      </c>
      <c r="F28" s="21">
        <v>582.4</v>
      </c>
      <c r="G28" s="21">
        <v>521.6</v>
      </c>
      <c r="H28" s="10" t="s">
        <v>165</v>
      </c>
      <c r="I28" s="10">
        <v>12.18</v>
      </c>
    </row>
    <row r="29" spans="1:9" ht="20" customHeight="1" x14ac:dyDescent="0.2">
      <c r="A29" s="10">
        <f t="shared" si="0"/>
        <v>28</v>
      </c>
      <c r="B29" s="10" t="s">
        <v>74</v>
      </c>
      <c r="C29" s="11" t="s">
        <v>75</v>
      </c>
      <c r="D29" s="12">
        <v>45144</v>
      </c>
      <c r="E29" s="12">
        <v>45510</v>
      </c>
      <c r="F29" s="21">
        <v>275.39999999999998</v>
      </c>
      <c r="G29" s="21">
        <v>487</v>
      </c>
      <c r="H29" s="10" t="s">
        <v>165</v>
      </c>
      <c r="I29" s="10">
        <v>76.83</v>
      </c>
    </row>
    <row r="30" spans="1:9" ht="20" customHeight="1" x14ac:dyDescent="0.2">
      <c r="A30" s="10">
        <f t="shared" si="0"/>
        <v>29</v>
      </c>
      <c r="B30" s="10" t="s">
        <v>76</v>
      </c>
      <c r="C30" s="11" t="s">
        <v>77</v>
      </c>
      <c r="D30" s="12">
        <v>45151</v>
      </c>
      <c r="E30" s="12">
        <v>45517</v>
      </c>
      <c r="F30" s="21">
        <v>509</v>
      </c>
      <c r="G30" s="21">
        <v>615</v>
      </c>
      <c r="H30" s="10" t="s">
        <v>165</v>
      </c>
      <c r="I30" s="10">
        <v>38.950000000000003</v>
      </c>
    </row>
    <row r="31" spans="1:9" ht="20" customHeight="1" x14ac:dyDescent="0.2">
      <c r="A31" s="10">
        <f t="shared" si="0"/>
        <v>30</v>
      </c>
      <c r="B31" s="10" t="s">
        <v>78</v>
      </c>
      <c r="C31" s="11" t="s">
        <v>79</v>
      </c>
      <c r="D31" s="12">
        <v>45151</v>
      </c>
      <c r="E31" s="12">
        <v>45517</v>
      </c>
      <c r="F31" s="21">
        <v>280.5</v>
      </c>
      <c r="G31" s="21">
        <v>815</v>
      </c>
      <c r="H31" s="10" t="s">
        <v>165</v>
      </c>
      <c r="I31" s="10">
        <v>190.55</v>
      </c>
    </row>
    <row r="32" spans="1:9" ht="20" customHeight="1" x14ac:dyDescent="0.2">
      <c r="A32" s="10">
        <f t="shared" si="0"/>
        <v>31</v>
      </c>
      <c r="B32" s="10" t="s">
        <v>80</v>
      </c>
      <c r="C32" s="11" t="s">
        <v>81</v>
      </c>
      <c r="D32" s="12">
        <v>45151</v>
      </c>
      <c r="E32" s="12">
        <v>45517</v>
      </c>
      <c r="F32" s="21">
        <v>278.89999999999998</v>
      </c>
      <c r="G32" s="21">
        <v>661</v>
      </c>
      <c r="H32" s="10" t="s">
        <v>165</v>
      </c>
      <c r="I32" s="10">
        <v>137</v>
      </c>
    </row>
    <row r="33" spans="1:9" ht="20" customHeight="1" x14ac:dyDescent="0.2">
      <c r="A33" s="10">
        <f t="shared" si="0"/>
        <v>32</v>
      </c>
      <c r="B33" s="10" t="s">
        <v>82</v>
      </c>
      <c r="C33" s="11" t="s">
        <v>83</v>
      </c>
      <c r="D33" s="12">
        <v>45159</v>
      </c>
      <c r="E33" s="12">
        <v>45525</v>
      </c>
      <c r="F33" s="21">
        <v>526.9</v>
      </c>
      <c r="G33" s="21">
        <v>2091</v>
      </c>
      <c r="H33" s="10" t="s">
        <v>165</v>
      </c>
      <c r="I33" s="10">
        <v>296.85000000000002</v>
      </c>
    </row>
    <row r="34" spans="1:9" ht="20" customHeight="1" x14ac:dyDescent="0.2">
      <c r="A34" s="10">
        <f t="shared" ref="A34:A65" si="1">ROW()-1</f>
        <v>33</v>
      </c>
      <c r="B34" s="10" t="s">
        <v>84</v>
      </c>
      <c r="C34" s="11" t="s">
        <v>85</v>
      </c>
      <c r="D34" s="12">
        <v>45186</v>
      </c>
      <c r="E34" s="12">
        <v>45552</v>
      </c>
      <c r="F34" s="21">
        <v>495</v>
      </c>
      <c r="G34" s="21">
        <v>481</v>
      </c>
      <c r="H34" s="10" t="s">
        <v>165</v>
      </c>
      <c r="I34" s="10">
        <v>14.29</v>
      </c>
    </row>
    <row r="35" spans="1:9" ht="20" customHeight="1" x14ac:dyDescent="0.2">
      <c r="A35" s="10">
        <f t="shared" si="1"/>
        <v>34</v>
      </c>
      <c r="B35" s="10" t="s">
        <v>86</v>
      </c>
      <c r="C35" s="11" t="s">
        <v>87</v>
      </c>
      <c r="D35" s="12">
        <v>45190</v>
      </c>
      <c r="E35" s="12">
        <v>45556</v>
      </c>
      <c r="F35" s="21">
        <v>470</v>
      </c>
      <c r="G35" s="21">
        <v>565</v>
      </c>
      <c r="H35" s="10" t="s">
        <v>165</v>
      </c>
      <c r="I35" s="10">
        <v>48.04</v>
      </c>
    </row>
    <row r="36" spans="1:9" ht="20" customHeight="1" x14ac:dyDescent="0.2">
      <c r="A36" s="10">
        <f t="shared" si="1"/>
        <v>35</v>
      </c>
      <c r="B36" s="10" t="s">
        <v>88</v>
      </c>
      <c r="C36" s="11" t="s">
        <v>89</v>
      </c>
      <c r="D36" s="12">
        <v>45194</v>
      </c>
      <c r="E36" s="12">
        <v>45560</v>
      </c>
      <c r="F36" s="21">
        <v>225</v>
      </c>
      <c r="G36" s="21">
        <v>375</v>
      </c>
      <c r="H36" s="10" t="s">
        <v>165</v>
      </c>
      <c r="I36" s="10">
        <v>66.67</v>
      </c>
    </row>
    <row r="37" spans="1:9" ht="20" customHeight="1" x14ac:dyDescent="0.2">
      <c r="A37" s="10">
        <f t="shared" si="1"/>
        <v>36</v>
      </c>
      <c r="B37" s="10" t="s">
        <v>90</v>
      </c>
      <c r="C37" s="11" t="s">
        <v>91</v>
      </c>
      <c r="D37" s="12">
        <v>45194</v>
      </c>
      <c r="E37" s="12">
        <v>45560</v>
      </c>
      <c r="F37" s="21">
        <v>264</v>
      </c>
      <c r="G37" s="21">
        <v>390</v>
      </c>
      <c r="H37" s="10" t="s">
        <v>165</v>
      </c>
      <c r="I37" s="10">
        <v>47.73</v>
      </c>
    </row>
    <row r="38" spans="1:9" ht="20" customHeight="1" x14ac:dyDescent="0.2">
      <c r="A38" s="10">
        <f t="shared" si="1"/>
        <v>37</v>
      </c>
      <c r="B38" s="10" t="s">
        <v>92</v>
      </c>
      <c r="C38" s="11" t="s">
        <v>93</v>
      </c>
      <c r="D38" s="12">
        <v>45200</v>
      </c>
      <c r="E38" s="12">
        <v>45566</v>
      </c>
      <c r="F38" s="21">
        <v>457.2</v>
      </c>
      <c r="G38" s="21">
        <v>633</v>
      </c>
      <c r="H38" s="10" t="s">
        <v>165</v>
      </c>
      <c r="I38" s="10">
        <v>45.43</v>
      </c>
    </row>
    <row r="39" spans="1:9" ht="20" customHeight="1" x14ac:dyDescent="0.2">
      <c r="A39" s="10">
        <f t="shared" si="1"/>
        <v>38</v>
      </c>
      <c r="B39" s="10" t="s">
        <v>94</v>
      </c>
      <c r="C39" s="11" t="s">
        <v>95</v>
      </c>
      <c r="D39" s="12">
        <v>45210</v>
      </c>
      <c r="E39" s="12">
        <v>45576</v>
      </c>
      <c r="F39" s="21">
        <v>410.5</v>
      </c>
      <c r="G39" s="21">
        <v>972</v>
      </c>
      <c r="H39" s="10" t="s">
        <v>165</v>
      </c>
      <c r="I39" s="10">
        <v>137.52000000000001</v>
      </c>
    </row>
    <row r="40" spans="1:9" ht="20" customHeight="1" x14ac:dyDescent="0.2">
      <c r="A40" s="10">
        <f t="shared" si="1"/>
        <v>39</v>
      </c>
      <c r="B40" s="10" t="s">
        <v>96</v>
      </c>
      <c r="C40" s="11" t="s">
        <v>97</v>
      </c>
      <c r="D40" s="12">
        <v>45210</v>
      </c>
      <c r="E40" s="12">
        <v>45576</v>
      </c>
      <c r="F40" s="21">
        <v>313.7</v>
      </c>
      <c r="G40" s="21">
        <v>1444</v>
      </c>
      <c r="H40" s="10" t="s">
        <v>165</v>
      </c>
      <c r="I40" s="10">
        <v>398.1</v>
      </c>
    </row>
    <row r="41" spans="1:9" ht="20" customHeight="1" x14ac:dyDescent="0.2">
      <c r="A41" s="10">
        <f t="shared" si="1"/>
        <v>40</v>
      </c>
      <c r="B41" s="10" t="s">
        <v>98</v>
      </c>
      <c r="C41" s="11" t="s">
        <v>99</v>
      </c>
      <c r="D41" s="12">
        <v>45211</v>
      </c>
      <c r="E41" s="12">
        <v>45577</v>
      </c>
      <c r="F41" s="21">
        <v>397.2</v>
      </c>
      <c r="G41" s="21">
        <v>960</v>
      </c>
      <c r="H41" s="10" t="s">
        <v>165</v>
      </c>
      <c r="I41" s="10">
        <v>156.71</v>
      </c>
    </row>
    <row r="42" spans="1:9" ht="20" customHeight="1" x14ac:dyDescent="0.2">
      <c r="A42" s="10">
        <f t="shared" si="1"/>
        <v>41</v>
      </c>
      <c r="B42" s="10" t="s">
        <v>100</v>
      </c>
      <c r="C42" s="11" t="s">
        <v>101</v>
      </c>
      <c r="D42" s="12">
        <v>45211</v>
      </c>
      <c r="E42" s="12">
        <v>45577</v>
      </c>
      <c r="F42" s="21">
        <v>330</v>
      </c>
      <c r="G42" s="21">
        <v>1026.9000000000001</v>
      </c>
      <c r="H42" s="10" t="s">
        <v>165</v>
      </c>
      <c r="I42" s="10">
        <v>245.76</v>
      </c>
    </row>
    <row r="43" spans="1:9" ht="20" customHeight="1" x14ac:dyDescent="0.2">
      <c r="A43" s="10">
        <f t="shared" si="1"/>
        <v>42</v>
      </c>
      <c r="B43" s="10" t="s">
        <v>102</v>
      </c>
      <c r="C43" s="11" t="s">
        <v>103</v>
      </c>
      <c r="D43" s="12">
        <v>45228</v>
      </c>
      <c r="E43" s="12">
        <v>45594</v>
      </c>
      <c r="F43" s="21">
        <v>315</v>
      </c>
      <c r="G43" s="21">
        <v>487</v>
      </c>
      <c r="H43" s="10" t="s">
        <v>165</v>
      </c>
      <c r="I43" s="10">
        <v>54.6</v>
      </c>
    </row>
    <row r="44" spans="1:9" ht="20" customHeight="1" x14ac:dyDescent="0.2">
      <c r="A44" s="10">
        <f t="shared" si="1"/>
        <v>43</v>
      </c>
      <c r="B44" s="10" t="s">
        <v>104</v>
      </c>
      <c r="C44" s="11" t="s">
        <v>105</v>
      </c>
      <c r="D44" s="12">
        <v>45250</v>
      </c>
      <c r="E44" s="12">
        <v>45616</v>
      </c>
      <c r="F44" s="21">
        <v>259.60000000000002</v>
      </c>
      <c r="G44" s="21">
        <v>681.9</v>
      </c>
      <c r="H44" s="10" t="s">
        <v>165</v>
      </c>
      <c r="I44" s="10">
        <v>162.66999999999999</v>
      </c>
    </row>
    <row r="45" spans="1:9" ht="20" customHeight="1" x14ac:dyDescent="0.2">
      <c r="A45" s="10">
        <f t="shared" si="1"/>
        <v>44</v>
      </c>
      <c r="B45" s="10" t="s">
        <v>106</v>
      </c>
      <c r="C45" s="11" t="s">
        <v>107</v>
      </c>
      <c r="D45" s="12">
        <v>45267</v>
      </c>
      <c r="E45" s="12">
        <v>45633</v>
      </c>
      <c r="F45" s="21">
        <v>294.8</v>
      </c>
      <c r="G45" s="21">
        <v>511</v>
      </c>
      <c r="H45" s="10" t="s">
        <v>165</v>
      </c>
      <c r="I45" s="10">
        <v>73.680000000000007</v>
      </c>
    </row>
    <row r="46" spans="1:9" ht="20" customHeight="1" x14ac:dyDescent="0.2">
      <c r="A46" s="10">
        <f t="shared" si="1"/>
        <v>45</v>
      </c>
      <c r="B46" s="10" t="s">
        <v>108</v>
      </c>
      <c r="C46" s="11" t="s">
        <v>109</v>
      </c>
      <c r="D46" s="12">
        <v>45274</v>
      </c>
      <c r="E46" s="12">
        <v>45640</v>
      </c>
      <c r="F46" s="21">
        <v>196.6</v>
      </c>
      <c r="G46" s="21">
        <v>1500</v>
      </c>
      <c r="H46" s="10" t="s">
        <v>165</v>
      </c>
      <c r="I46" s="10">
        <v>688.4</v>
      </c>
    </row>
    <row r="47" spans="1:9" ht="20" customHeight="1" x14ac:dyDescent="0.2">
      <c r="A47" s="10">
        <f t="shared" si="1"/>
        <v>46</v>
      </c>
      <c r="B47" s="10" t="s">
        <v>110</v>
      </c>
      <c r="C47" s="11" t="s">
        <v>111</v>
      </c>
      <c r="D47" s="12">
        <v>45281</v>
      </c>
      <c r="E47" s="12">
        <v>45647</v>
      </c>
      <c r="F47" s="21">
        <v>330</v>
      </c>
      <c r="G47" s="21">
        <v>771</v>
      </c>
      <c r="H47" s="10" t="s">
        <v>165</v>
      </c>
      <c r="I47" s="10">
        <v>119.7</v>
      </c>
    </row>
    <row r="48" spans="1:9" ht="20" customHeight="1" x14ac:dyDescent="0.2">
      <c r="A48" s="10">
        <f t="shared" si="1"/>
        <v>47</v>
      </c>
      <c r="B48" s="10" t="s">
        <v>112</v>
      </c>
      <c r="C48" s="11" t="s">
        <v>113</v>
      </c>
      <c r="D48" s="12">
        <v>45281</v>
      </c>
      <c r="E48" s="12">
        <v>45647</v>
      </c>
      <c r="F48" s="21">
        <v>229.6</v>
      </c>
      <c r="G48" s="21">
        <v>954</v>
      </c>
      <c r="H48" s="10" t="s">
        <v>165</v>
      </c>
      <c r="I48" s="10">
        <v>320.3</v>
      </c>
    </row>
    <row r="49" spans="1:9" ht="20" customHeight="1" x14ac:dyDescent="0.2">
      <c r="A49" s="10">
        <f t="shared" si="1"/>
        <v>48</v>
      </c>
      <c r="B49" s="10" t="s">
        <v>114</v>
      </c>
      <c r="C49" s="11" t="s">
        <v>115</v>
      </c>
      <c r="D49" s="12">
        <v>45281</v>
      </c>
      <c r="E49" s="12">
        <v>45647</v>
      </c>
      <c r="F49" s="21">
        <v>401.8</v>
      </c>
      <c r="G49" s="21">
        <v>648</v>
      </c>
      <c r="H49" s="10" t="s">
        <v>165</v>
      </c>
      <c r="I49" s="10">
        <v>61.32</v>
      </c>
    </row>
    <row r="50" spans="1:9" ht="20" customHeight="1" x14ac:dyDescent="0.2">
      <c r="A50" s="10">
        <f t="shared" si="1"/>
        <v>49</v>
      </c>
      <c r="B50" s="10" t="s">
        <v>116</v>
      </c>
      <c r="C50" s="11" t="s">
        <v>117</v>
      </c>
      <c r="D50" s="12">
        <v>45299</v>
      </c>
      <c r="E50" s="12">
        <v>45665</v>
      </c>
      <c r="F50" s="21">
        <v>340.1</v>
      </c>
      <c r="G50" s="21">
        <v>825</v>
      </c>
      <c r="H50" s="10" t="s">
        <v>165</v>
      </c>
      <c r="I50" s="10">
        <v>152.34</v>
      </c>
    </row>
    <row r="51" spans="1:9" ht="20" customHeight="1" x14ac:dyDescent="0.2">
      <c r="A51" s="10">
        <f t="shared" si="1"/>
        <v>50</v>
      </c>
      <c r="B51" s="10" t="s">
        <v>119</v>
      </c>
      <c r="C51" s="11" t="s">
        <v>120</v>
      </c>
      <c r="D51" s="12">
        <v>45370</v>
      </c>
      <c r="E51" s="12">
        <v>45735</v>
      </c>
      <c r="F51" s="21">
        <v>611.6</v>
      </c>
      <c r="G51" s="21">
        <v>807</v>
      </c>
      <c r="H51" s="10" t="s">
        <v>165</v>
      </c>
      <c r="I51" s="10">
        <v>44.13</v>
      </c>
    </row>
    <row r="52" spans="1:9" ht="20" customHeight="1" x14ac:dyDescent="0.2">
      <c r="A52" s="10">
        <f t="shared" si="1"/>
        <v>51</v>
      </c>
      <c r="B52" s="10" t="s">
        <v>121</v>
      </c>
      <c r="C52" s="11" t="s">
        <v>122</v>
      </c>
      <c r="D52" s="12">
        <v>45697</v>
      </c>
      <c r="E52" s="12">
        <v>46062</v>
      </c>
      <c r="F52" s="21">
        <v>331.1</v>
      </c>
      <c r="G52" s="21">
        <v>1772</v>
      </c>
      <c r="H52" s="10" t="s">
        <v>165</v>
      </c>
      <c r="I52" s="10">
        <v>435.19</v>
      </c>
    </row>
    <row r="53" spans="1:9" ht="20" customHeight="1" x14ac:dyDescent="0.2">
      <c r="A53" s="10">
        <f t="shared" si="1"/>
        <v>52</v>
      </c>
      <c r="B53" s="10" t="s">
        <v>123</v>
      </c>
      <c r="C53" s="11" t="s">
        <v>124</v>
      </c>
      <c r="D53" s="12">
        <v>45755</v>
      </c>
      <c r="E53" s="12">
        <v>46120</v>
      </c>
      <c r="F53" s="21">
        <v>332.5</v>
      </c>
      <c r="G53" s="21">
        <v>1195</v>
      </c>
      <c r="H53" s="10" t="s">
        <v>165</v>
      </c>
      <c r="I53" s="10">
        <v>259.39999999999998</v>
      </c>
    </row>
    <row r="54" spans="1:9" ht="20" customHeight="1" x14ac:dyDescent="0.2">
      <c r="A54" s="10">
        <f t="shared" si="1"/>
        <v>53</v>
      </c>
      <c r="B54" s="10" t="s">
        <v>125</v>
      </c>
      <c r="C54" s="11" t="s">
        <v>126</v>
      </c>
      <c r="D54" s="12">
        <v>45757</v>
      </c>
      <c r="E54" s="12">
        <v>46122</v>
      </c>
      <c r="F54" s="21">
        <v>332.7</v>
      </c>
      <c r="G54" s="21">
        <v>1312.8</v>
      </c>
      <c r="H54" s="10" t="s">
        <v>165</v>
      </c>
      <c r="I54" s="10">
        <v>294.58999999999997</v>
      </c>
    </row>
    <row r="55" spans="1:9" ht="20" customHeight="1" x14ac:dyDescent="0.2">
      <c r="A55" s="10">
        <f t="shared" si="1"/>
        <v>54</v>
      </c>
      <c r="B55" s="10" t="s">
        <v>127</v>
      </c>
      <c r="C55" s="11" t="s">
        <v>128</v>
      </c>
      <c r="D55" s="12">
        <v>45781</v>
      </c>
      <c r="E55" s="12">
        <v>46146</v>
      </c>
      <c r="F55" s="21">
        <v>297</v>
      </c>
      <c r="G55" s="21">
        <v>1125</v>
      </c>
      <c r="H55" s="10" t="s">
        <v>165</v>
      </c>
      <c r="I55" s="10">
        <v>278.79000000000002</v>
      </c>
    </row>
    <row r="56" spans="1:9" ht="20" customHeight="1" x14ac:dyDescent="0.2">
      <c r="A56" s="10">
        <f t="shared" si="1"/>
        <v>55</v>
      </c>
      <c r="B56" s="10" t="s">
        <v>129</v>
      </c>
      <c r="C56" s="11" t="s">
        <v>130</v>
      </c>
      <c r="D56" s="12">
        <v>45804</v>
      </c>
      <c r="E56" s="12">
        <v>46151</v>
      </c>
      <c r="F56" s="21">
        <v>318.2</v>
      </c>
      <c r="G56" s="21">
        <v>977.1</v>
      </c>
      <c r="H56" s="10" t="s">
        <v>165</v>
      </c>
      <c r="I56" s="10">
        <v>207.07</v>
      </c>
    </row>
    <row r="57" spans="1:9" ht="20" customHeight="1" x14ac:dyDescent="0.2">
      <c r="A57" s="10">
        <f t="shared" si="1"/>
        <v>56</v>
      </c>
      <c r="B57" s="10" t="s">
        <v>131</v>
      </c>
      <c r="C57" s="11" t="s">
        <v>132</v>
      </c>
      <c r="D57" s="12">
        <v>45855</v>
      </c>
      <c r="E57" s="12">
        <v>46151</v>
      </c>
      <c r="F57" s="21">
        <v>402.7</v>
      </c>
      <c r="G57" s="21">
        <v>819.9</v>
      </c>
      <c r="H57" s="10" t="s">
        <v>165</v>
      </c>
      <c r="I57" s="10">
        <v>103.6</v>
      </c>
    </row>
    <row r="58" spans="1:9" ht="20" customHeight="1" x14ac:dyDescent="0.2">
      <c r="A58" s="10">
        <f t="shared" si="1"/>
        <v>57</v>
      </c>
      <c r="B58" s="10" t="s">
        <v>133</v>
      </c>
      <c r="C58" s="11" t="s">
        <v>134</v>
      </c>
      <c r="D58" s="12">
        <v>45858</v>
      </c>
      <c r="E58" s="12">
        <v>46151</v>
      </c>
      <c r="F58" s="21">
        <v>394.9</v>
      </c>
      <c r="G58" s="21">
        <v>684</v>
      </c>
      <c r="H58" s="10" t="s">
        <v>165</v>
      </c>
      <c r="I58" s="10">
        <v>73.209999999999994</v>
      </c>
    </row>
    <row r="59" spans="1:9" ht="20" customHeight="1" x14ac:dyDescent="0.2">
      <c r="A59" s="10">
        <f t="shared" si="1"/>
        <v>58</v>
      </c>
      <c r="B59" s="10" t="s">
        <v>135</v>
      </c>
      <c r="C59" s="11" t="s">
        <v>136</v>
      </c>
      <c r="D59" s="12">
        <v>45889</v>
      </c>
      <c r="E59" s="12">
        <v>46151</v>
      </c>
      <c r="F59" s="21">
        <v>321.3</v>
      </c>
      <c r="G59" s="21">
        <v>515</v>
      </c>
      <c r="H59" s="10" t="s">
        <v>165</v>
      </c>
      <c r="I59" s="10">
        <v>60.29</v>
      </c>
    </row>
    <row r="60" spans="1:9" ht="20" customHeight="1" x14ac:dyDescent="0.2">
      <c r="A60" s="10">
        <f t="shared" si="1"/>
        <v>59</v>
      </c>
      <c r="B60" s="10" t="s">
        <v>137</v>
      </c>
      <c r="C60" s="11" t="s">
        <v>138</v>
      </c>
      <c r="D60" s="12">
        <v>45901</v>
      </c>
      <c r="E60" s="12">
        <v>46151</v>
      </c>
      <c r="F60" s="21">
        <v>267.5</v>
      </c>
      <c r="G60" s="21">
        <v>909.9</v>
      </c>
      <c r="H60" s="10" t="s">
        <v>165</v>
      </c>
      <c r="I60" s="10">
        <v>240.15</v>
      </c>
    </row>
    <row r="61" spans="1:9" ht="20" customHeight="1" x14ac:dyDescent="0.2">
      <c r="A61" s="10">
        <f t="shared" si="1"/>
        <v>60</v>
      </c>
      <c r="B61" s="10" t="s">
        <v>139</v>
      </c>
      <c r="C61" s="11" t="s">
        <v>140</v>
      </c>
      <c r="D61" s="12">
        <v>45965</v>
      </c>
      <c r="E61" s="12">
        <v>46151</v>
      </c>
      <c r="F61" s="21">
        <v>349.4</v>
      </c>
      <c r="G61" s="21">
        <v>660</v>
      </c>
      <c r="H61" s="10" t="s">
        <v>165</v>
      </c>
      <c r="I61" s="10">
        <v>88.9</v>
      </c>
    </row>
    <row r="62" spans="1:9" ht="20" customHeight="1" x14ac:dyDescent="0.2">
      <c r="A62" s="10">
        <f t="shared" si="1"/>
        <v>61</v>
      </c>
      <c r="B62" s="10" t="s">
        <v>141</v>
      </c>
      <c r="C62" s="11" t="s">
        <v>142</v>
      </c>
      <c r="D62" s="12">
        <v>45967</v>
      </c>
      <c r="E62" s="12">
        <v>46151</v>
      </c>
      <c r="F62" s="21">
        <v>442.4</v>
      </c>
      <c r="G62" s="21">
        <v>599</v>
      </c>
      <c r="H62" s="10" t="s">
        <v>165</v>
      </c>
      <c r="I62" s="10">
        <v>35.4</v>
      </c>
    </row>
    <row r="63" spans="1:9" ht="20" customHeight="1" x14ac:dyDescent="0.2">
      <c r="A63" s="10">
        <f t="shared" si="1"/>
        <v>62</v>
      </c>
      <c r="B63" s="10" t="s">
        <v>143</v>
      </c>
      <c r="C63" s="11" t="s">
        <v>144</v>
      </c>
      <c r="D63" s="12">
        <v>45970</v>
      </c>
      <c r="E63" s="12">
        <v>46151</v>
      </c>
      <c r="F63" s="21">
        <v>351.4</v>
      </c>
      <c r="G63" s="21">
        <v>1729</v>
      </c>
      <c r="H63" s="10" t="s">
        <v>165</v>
      </c>
      <c r="I63" s="10">
        <v>392.03</v>
      </c>
    </row>
    <row r="64" spans="1:9" ht="20" customHeight="1" x14ac:dyDescent="0.2">
      <c r="A64" s="10">
        <f t="shared" si="1"/>
        <v>63</v>
      </c>
      <c r="B64" s="10" t="s">
        <v>145</v>
      </c>
      <c r="C64" s="11" t="s">
        <v>146</v>
      </c>
      <c r="D64" s="12">
        <v>45971</v>
      </c>
      <c r="E64" s="12">
        <v>46151</v>
      </c>
      <c r="F64" s="21">
        <v>332.6</v>
      </c>
      <c r="G64" s="21">
        <v>569.1</v>
      </c>
      <c r="H64" s="10" t="s">
        <v>165</v>
      </c>
      <c r="I64" s="10">
        <v>71.11</v>
      </c>
    </row>
    <row r="65" spans="1:9" ht="20" customHeight="1" x14ac:dyDescent="0.2">
      <c r="A65" s="10">
        <f t="shared" si="1"/>
        <v>64</v>
      </c>
      <c r="B65" s="10" t="s">
        <v>147</v>
      </c>
      <c r="C65" s="11" t="s">
        <v>148</v>
      </c>
      <c r="D65" s="12">
        <v>45972</v>
      </c>
      <c r="E65" s="12">
        <v>46151</v>
      </c>
      <c r="F65" s="21">
        <v>313.5</v>
      </c>
      <c r="G65" s="21">
        <v>832</v>
      </c>
      <c r="H65" s="10" t="s">
        <v>165</v>
      </c>
      <c r="I65" s="10">
        <v>165.39</v>
      </c>
    </row>
    <row r="66" spans="1:9" ht="20" customHeight="1" x14ac:dyDescent="0.2">
      <c r="A66" s="10">
        <f t="shared" ref="A66:A71" si="2">ROW()-1</f>
        <v>65</v>
      </c>
      <c r="B66" s="10" t="s">
        <v>149</v>
      </c>
      <c r="C66" s="11" t="s">
        <v>150</v>
      </c>
      <c r="D66" s="12">
        <v>45972</v>
      </c>
      <c r="E66" s="12">
        <v>46151</v>
      </c>
      <c r="F66" s="21">
        <v>407.4</v>
      </c>
      <c r="G66" s="21">
        <v>2485</v>
      </c>
      <c r="H66" s="10" t="s">
        <v>165</v>
      </c>
      <c r="I66" s="10">
        <v>509.97</v>
      </c>
    </row>
    <row r="67" spans="1:9" ht="20" customHeight="1" x14ac:dyDescent="0.2">
      <c r="A67" s="10">
        <f t="shared" si="2"/>
        <v>66</v>
      </c>
      <c r="B67" s="10" t="s">
        <v>151</v>
      </c>
      <c r="C67" s="11" t="s">
        <v>152</v>
      </c>
      <c r="D67" s="12">
        <v>45977</v>
      </c>
      <c r="E67" s="12">
        <v>46151</v>
      </c>
      <c r="F67" s="21">
        <v>311.2</v>
      </c>
      <c r="G67" s="21">
        <v>1840</v>
      </c>
      <c r="H67" s="10" t="s">
        <v>165</v>
      </c>
      <c r="I67" s="10">
        <v>491.26</v>
      </c>
    </row>
    <row r="68" spans="1:9" ht="20" customHeight="1" x14ac:dyDescent="0.2">
      <c r="A68" s="10">
        <f t="shared" si="2"/>
        <v>67</v>
      </c>
      <c r="B68" s="10" t="s">
        <v>153</v>
      </c>
      <c r="C68" s="11" t="s">
        <v>154</v>
      </c>
      <c r="D68" s="12">
        <v>45985</v>
      </c>
      <c r="E68" s="12">
        <v>46151</v>
      </c>
      <c r="F68" s="21">
        <v>331.8</v>
      </c>
      <c r="G68" s="21">
        <v>1145</v>
      </c>
      <c r="H68" s="10" t="s">
        <v>165</v>
      </c>
      <c r="I68" s="10">
        <v>245.09</v>
      </c>
    </row>
    <row r="69" spans="1:9" ht="20" customHeight="1" x14ac:dyDescent="0.2">
      <c r="A69" s="10">
        <f t="shared" si="2"/>
        <v>68</v>
      </c>
      <c r="B69" s="10" t="s">
        <v>155</v>
      </c>
      <c r="C69" s="11" t="s">
        <v>156</v>
      </c>
      <c r="D69" s="12">
        <v>46001</v>
      </c>
      <c r="E69" s="12">
        <v>46151</v>
      </c>
      <c r="F69" s="21">
        <v>351.7</v>
      </c>
      <c r="G69" s="21">
        <v>1465</v>
      </c>
      <c r="H69" s="10" t="s">
        <v>165</v>
      </c>
      <c r="I69" s="10">
        <v>316.55</v>
      </c>
    </row>
    <row r="70" spans="1:9" ht="20" customHeight="1" x14ac:dyDescent="0.2">
      <c r="A70" s="10">
        <f t="shared" si="2"/>
        <v>69</v>
      </c>
      <c r="B70" s="10" t="s">
        <v>157</v>
      </c>
      <c r="C70" s="10" t="s">
        <v>157</v>
      </c>
      <c r="D70" s="12">
        <v>46069</v>
      </c>
      <c r="E70" s="12">
        <v>46151</v>
      </c>
      <c r="F70" s="21">
        <v>330</v>
      </c>
      <c r="G70" s="21">
        <v>361.8</v>
      </c>
      <c r="H70" s="10" t="s">
        <v>165</v>
      </c>
      <c r="I70" s="10">
        <v>9.64</v>
      </c>
    </row>
    <row r="71" spans="1:9" ht="20" customHeight="1" x14ac:dyDescent="0.2">
      <c r="A71" s="10">
        <f t="shared" si="2"/>
        <v>70</v>
      </c>
      <c r="B71" s="10" t="s">
        <v>158</v>
      </c>
      <c r="C71" s="11" t="s">
        <v>159</v>
      </c>
      <c r="D71" s="12">
        <v>46069</v>
      </c>
      <c r="E71" s="12">
        <v>46151</v>
      </c>
      <c r="F71" s="21">
        <v>330</v>
      </c>
      <c r="G71" s="21">
        <v>1235</v>
      </c>
      <c r="H71" s="9" t="s">
        <v>165</v>
      </c>
      <c r="I71" s="9">
        <v>274.24</v>
      </c>
    </row>
    <row r="72" spans="1:9" x14ac:dyDescent="0.2">
      <c r="H72" s="32" t="s">
        <v>160</v>
      </c>
      <c r="I72" s="35">
        <f>AVERAGE(I2:I71)</f>
        <v>151.74642857142851</v>
      </c>
    </row>
    <row r="73" spans="1:9" x14ac:dyDescent="0.2">
      <c r="H73" s="32" t="s">
        <v>161</v>
      </c>
      <c r="I73" s="35">
        <f>((1+I72/100)^(365/365)-1)*100</f>
        <v>151.74642857142851</v>
      </c>
    </row>
    <row r="74" spans="1:9" x14ac:dyDescent="0.2">
      <c r="H74" s="32" t="s">
        <v>166</v>
      </c>
      <c r="I74" s="35">
        <f>MEDIAN(I2:I71)</f>
        <v>83.465000000000003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1_months</vt:lpstr>
      <vt:lpstr>45_days</vt:lpstr>
      <vt:lpstr>2_months</vt:lpstr>
      <vt:lpstr>4 months </vt:lpstr>
      <vt:lpstr>6_months</vt:lpstr>
      <vt:lpstr>1_year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Y Gurung</dc:creator>
  <cp:lastModifiedBy>Karma Y Gurung</cp:lastModifiedBy>
  <dcterms:created xsi:type="dcterms:W3CDTF">2026-05-09T14:23:27Z</dcterms:created>
  <dcterms:modified xsi:type="dcterms:W3CDTF">2026-05-10T03:58:57Z</dcterms:modified>
</cp:coreProperties>
</file>