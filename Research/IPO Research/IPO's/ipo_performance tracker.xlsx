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CodingProjects/Nepse-CAGR/Research/IPO Research/"/>
    </mc:Choice>
  </mc:AlternateContent>
  <xr:revisionPtr revIDLastSave="0" documentId="13_ncr:1_{C93DB3D7-9656-6B4D-9DD5-5B506F65CE88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📈 Equities IPO's" sheetId="1" r:id="rId1"/>
    <sheet name="📊 IPO Analysis" sheetId="6" r:id="rId2"/>
    <sheet name="🟣 Mutual Funds" sheetId="2" r:id="rId3"/>
    <sheet name="🔀 Merger Relistings" sheetId="3" r:id="rId4"/>
    <sheet name="🔵 Debentures" sheetId="4" r:id="rId5"/>
    <sheet name="Promoter Shar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5" i="3" l="1"/>
  <c r="A14" i="3"/>
  <c r="A13" i="3"/>
  <c r="A12" i="3"/>
  <c r="A11" i="3"/>
  <c r="A10" i="3"/>
  <c r="A9" i="3"/>
  <c r="A8" i="3"/>
  <c r="A7" i="3"/>
  <c r="A6" i="3"/>
  <c r="A5" i="3"/>
  <c r="A4" i="3"/>
  <c r="B26" i="6" l="1" a="1"/>
  <c r="B26" i="6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4" i="1"/>
  <c r="L4" i="1" s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2" i="1" s="1"/>
  <c r="A81" i="1" a="1"/>
  <c r="A81" i="1" s="1"/>
  <c r="B27" i="6" l="1"/>
  <c r="B25" i="6" a="1"/>
  <c r="B25" i="6" s="1"/>
  <c r="B24" i="6" a="1"/>
  <c r="B24" i="6" s="1"/>
  <c r="B23" i="6" a="1"/>
  <c r="B23" i="6" s="1"/>
  <c r="B22" i="6"/>
  <c r="B21" i="6"/>
  <c r="H14" i="6"/>
  <c r="G11" i="6"/>
  <c r="E10" i="6"/>
  <c r="G14" i="6"/>
  <c r="E13" i="6"/>
  <c r="H9" i="6"/>
  <c r="H12" i="6"/>
  <c r="G9" i="6"/>
  <c r="E8" i="6"/>
  <c r="G12" i="6"/>
  <c r="E11" i="6"/>
  <c r="H7" i="6"/>
  <c r="E14" i="6"/>
  <c r="H10" i="6"/>
  <c r="G7" i="6"/>
  <c r="H13" i="6"/>
  <c r="G10" i="6"/>
  <c r="E9" i="6"/>
  <c r="G13" i="6"/>
  <c r="E12" i="6"/>
  <c r="H8" i="6"/>
  <c r="H11" i="6"/>
  <c r="G8" i="6"/>
  <c r="E7" i="6"/>
  <c r="D14" i="6"/>
  <c r="F14" i="6" s="1" a="1"/>
  <c r="F14" i="6" s="1"/>
  <c r="O8" i="6" s="1"/>
  <c r="D13" i="6"/>
  <c r="F13" i="6" s="1" a="1"/>
  <c r="F13" i="6" s="1"/>
  <c r="O7" i="6" s="1"/>
  <c r="D12" i="6"/>
  <c r="F12" i="6" s="1" a="1"/>
  <c r="F12" i="6" s="1"/>
  <c r="O6" i="6" s="1"/>
  <c r="D11" i="6"/>
  <c r="F11" i="6" s="1" a="1"/>
  <c r="F11" i="6" s="1"/>
  <c r="O5" i="6" s="1"/>
  <c r="D10" i="6"/>
  <c r="F10" i="6" s="1" a="1"/>
  <c r="F10" i="6" s="1"/>
  <c r="O4" i="6" s="1"/>
  <c r="D9" i="6"/>
  <c r="F9" i="6" s="1" a="1"/>
  <c r="F9" i="6" s="1"/>
  <c r="O3" i="6" s="1"/>
  <c r="D8" i="6"/>
  <c r="F8" i="6" s="1" a="1"/>
  <c r="F8" i="6" s="1"/>
  <c r="O2" i="6" s="1"/>
  <c r="D7" i="6"/>
  <c r="F7" i="6" s="1" a="1"/>
  <c r="F7" i="6" s="1"/>
  <c r="D32" i="6" l="1"/>
  <c r="B32" i="6"/>
  <c r="D31" i="6"/>
  <c r="B33" i="6" s="1"/>
  <c r="B3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<sst xmlns="http://schemas.openxmlformats.org/spreadsheetml/2006/main" count="930" uniqueCount="732">
  <si>
    <t>📈  NEPSE New Listings — Equity Performance Tracker</t>
  </si>
  <si>
    <t>Sorted oldest → newest  ·  77 equity listings  ·  As of May 09, 2026  ·  Base investment NPR 100,000</t>
  </si>
  <si>
    <t>#</t>
  </si>
  <si>
    <t>Symbol</t>
  </si>
  <si>
    <t>Company Name</t>
  </si>
  <si>
    <t>Listing Date</t>
  </si>
  <si>
    <t>Time Since IPO</t>
  </si>
  <si>
    <t>Start Price (NPR)</t>
  </si>
  <si>
    <t>Current Price (NPR)</t>
  </si>
  <si>
    <t>Multiple</t>
  </si>
  <si>
    <t>CAGR (%)</t>
  </si>
  <si>
    <t>Current Value (NPR)</t>
  </si>
  <si>
    <t>PPL</t>
  </si>
  <si>
    <t>2022-10-16</t>
  </si>
  <si>
    <t>3.6 yrs</t>
  </si>
  <si>
    <t>1.69x</t>
  </si>
  <si>
    <t>15.9%</t>
  </si>
  <si>
    <t>SPHL</t>
  </si>
  <si>
    <t>Sayapatri Hydropower Ltd</t>
  </si>
  <si>
    <t>2022-10-17</t>
  </si>
  <si>
    <t>2.39x</t>
  </si>
  <si>
    <t>27.8%</t>
  </si>
  <si>
    <t>SIKLES</t>
  </si>
  <si>
    <t>Sikles Hydropower Ltd</t>
  </si>
  <si>
    <t>2022-11-15</t>
  </si>
  <si>
    <t>3.5 yrs</t>
  </si>
  <si>
    <t>2.12x</t>
  </si>
  <si>
    <t>24.2%</t>
  </si>
  <si>
    <t>EHPL</t>
  </si>
  <si>
    <t>Earthmovers Hydropower Ltd</t>
  </si>
  <si>
    <t>2022-12-14</t>
  </si>
  <si>
    <t>3.4 yrs</t>
  </si>
  <si>
    <t>1.62x</t>
  </si>
  <si>
    <t>15.2%</t>
  </si>
  <si>
    <t>PHCL</t>
  </si>
  <si>
    <t>Pathivara Hydropower Company Ltd</t>
  </si>
  <si>
    <t>1.14x</t>
  </si>
  <si>
    <t>3.9%</t>
  </si>
  <si>
    <t>SHLB</t>
  </si>
  <si>
    <t>Shrijanshil Laghubitta Bittiya Sanstha</t>
  </si>
  <si>
    <t>2022-12-20</t>
  </si>
  <si>
    <t>1.50x</t>
  </si>
  <si>
    <t>12.6%</t>
  </si>
  <si>
    <t>BHPL</t>
  </si>
  <si>
    <t>Barun Hydropower Ltd</t>
  </si>
  <si>
    <t>2023-01-04</t>
  </si>
  <si>
    <t>3.3 yrs</t>
  </si>
  <si>
    <t>2.43x</t>
  </si>
  <si>
    <t>30.5%</t>
  </si>
  <si>
    <t>SJLIC</t>
  </si>
  <si>
    <t>SuryaJyoti Life Insurance Company Ltd</t>
  </si>
  <si>
    <t>2023-01-25</t>
  </si>
  <si>
    <t>1.31x</t>
  </si>
  <si>
    <t>8.7%</t>
  </si>
  <si>
    <t>SMHL</t>
  </si>
  <si>
    <t>Samaj Microfinance Ltd</t>
  </si>
  <si>
    <t>2023-03-05</t>
  </si>
  <si>
    <t>3.2 yrs</t>
  </si>
  <si>
    <t>1.68x</t>
  </si>
  <si>
    <t>17.6%</t>
  </si>
  <si>
    <t>SPL</t>
  </si>
  <si>
    <t>Seti Power Ltd</t>
  </si>
  <si>
    <t>2023-03-07</t>
  </si>
  <si>
    <t>2.40x</t>
  </si>
  <si>
    <t>31.8%</t>
  </si>
  <si>
    <t>NIMBPO</t>
  </si>
  <si>
    <t>Nepal Investment Mega Bank Promoter Offer</t>
  </si>
  <si>
    <t>2023-03-20</t>
  </si>
  <si>
    <t>3.1 yrs</t>
  </si>
  <si>
    <t>1.38x</t>
  </si>
  <si>
    <t>10.9%</t>
  </si>
  <si>
    <t>MKHC</t>
  </si>
  <si>
    <t>2023-03-22</t>
  </si>
  <si>
    <t>1.08x</t>
  </si>
  <si>
    <t>2.6%</t>
  </si>
  <si>
    <t>AHL</t>
  </si>
  <si>
    <t>Arun Hydropower Ltd</t>
  </si>
  <si>
    <t>2023-03-23</t>
  </si>
  <si>
    <t>1.59x</t>
  </si>
  <si>
    <t>16.1%</t>
  </si>
  <si>
    <t>KDL</t>
  </si>
  <si>
    <t>Kalinchowk Darshan Ltd</t>
  </si>
  <si>
    <t>6.24x</t>
  </si>
  <si>
    <t>79.6%</t>
  </si>
  <si>
    <t>SMH</t>
  </si>
  <si>
    <t>Samling Micro Hydropower Ltd</t>
  </si>
  <si>
    <t>2023-03-27</t>
  </si>
  <si>
    <t>1.72x</t>
  </si>
  <si>
    <t>19.1%</t>
  </si>
  <si>
    <t>SPIL</t>
  </si>
  <si>
    <t>Siddhartha Premier Insurance Ltd</t>
  </si>
  <si>
    <t>2023-04-04</t>
  </si>
  <si>
    <t>1.35x</t>
  </si>
  <si>
    <t>10.1%</t>
  </si>
  <si>
    <t>TAMOR</t>
  </si>
  <si>
    <t>Tamor Hydropower Ltd</t>
  </si>
  <si>
    <t>2023-04-10</t>
  </si>
  <si>
    <t>1.34x</t>
  </si>
  <si>
    <t>9.9%</t>
  </si>
  <si>
    <t>MHCL</t>
  </si>
  <si>
    <t>Mailung Hydropower Company Ltd</t>
  </si>
  <si>
    <t>2023-04-13</t>
  </si>
  <si>
    <t>2.22x</t>
  </si>
  <si>
    <t>29.8%</t>
  </si>
  <si>
    <t>SMJC</t>
  </si>
  <si>
    <t>Samjhauta Microfinance Company</t>
  </si>
  <si>
    <t>1.36x</t>
  </si>
  <si>
    <t>10.4%</t>
  </si>
  <si>
    <t>ANLB</t>
  </si>
  <si>
    <t>Annapurna Natural Living Brewery Ltd</t>
  </si>
  <si>
    <t>2023-05-02</t>
  </si>
  <si>
    <t>3.0 yrs</t>
  </si>
  <si>
    <t>19.90x</t>
  </si>
  <si>
    <t>169.4%</t>
  </si>
  <si>
    <t>MAKAR</t>
  </si>
  <si>
    <t>Makar Hydropower Ltd</t>
  </si>
  <si>
    <t>2023-05-07</t>
  </si>
  <si>
    <t>1.91x</t>
  </si>
  <si>
    <t>24.1%</t>
  </si>
  <si>
    <t>SALICO</t>
  </si>
  <si>
    <t>Sagarmatha Lumbini Insurance Company Ltd</t>
  </si>
  <si>
    <t>2023-05-15</t>
  </si>
  <si>
    <t>1.10x</t>
  </si>
  <si>
    <t>3.4%</t>
  </si>
  <si>
    <t>MKHL</t>
  </si>
  <si>
    <t>Manakamana Hydropower Ltd</t>
  </si>
  <si>
    <t>2023-05-16</t>
  </si>
  <si>
    <t>1.71x</t>
  </si>
  <si>
    <t>19.8%</t>
  </si>
  <si>
    <t>SRLI</t>
  </si>
  <si>
    <t>Sanima Reliance Life Insurance Ltd</t>
  </si>
  <si>
    <t>2023-05-21</t>
  </si>
  <si>
    <t>1.22x</t>
  </si>
  <si>
    <t>6.8%</t>
  </si>
  <si>
    <t>IGI</t>
  </si>
  <si>
    <t>IME General Insurance Ltd</t>
  </si>
  <si>
    <t>2023-06-04</t>
  </si>
  <si>
    <t>2.9 yrs</t>
  </si>
  <si>
    <t>2.8%</t>
  </si>
  <si>
    <t>DOLTI</t>
  </si>
  <si>
    <t>Dolti Power Company Ltd</t>
  </si>
  <si>
    <t>2023-06-08</t>
  </si>
  <si>
    <t>1.16x</t>
  </si>
  <si>
    <t>5.1%</t>
  </si>
  <si>
    <t>BEDC</t>
  </si>
  <si>
    <t>Balephi Electricity Development Company</t>
  </si>
  <si>
    <t>1.61x</t>
  </si>
  <si>
    <t>17.9%</t>
  </si>
  <si>
    <t>MCHL</t>
  </si>
  <si>
    <t>Manaslu Construction &amp; Hydropower Ltd</t>
  </si>
  <si>
    <t>2023-06-18</t>
  </si>
  <si>
    <t>1.18x</t>
  </si>
  <si>
    <t>5.9%</t>
  </si>
  <si>
    <t>IHL</t>
  </si>
  <si>
    <t>Integrated Hydropower Ltd</t>
  </si>
  <si>
    <t>2023-06-20</t>
  </si>
  <si>
    <t>1.23x</t>
  </si>
  <si>
    <t>7.4%</t>
  </si>
  <si>
    <t>MEL</t>
  </si>
  <si>
    <t>Mandu Electric Ltd</t>
  </si>
  <si>
    <t>2023-07-05</t>
  </si>
  <si>
    <t>2.8 yrs</t>
  </si>
  <si>
    <t>0.97x</t>
  </si>
  <si>
    <t>-1.0%</t>
  </si>
  <si>
    <t>RAWA</t>
  </si>
  <si>
    <t>Rawa Energy Development Ltd</t>
  </si>
  <si>
    <t>2.17x</t>
  </si>
  <si>
    <t>31.3%</t>
  </si>
  <si>
    <t>UAIL</t>
  </si>
  <si>
    <t>United Ajod Insurance Ltd</t>
  </si>
  <si>
    <t>2023-07-17</t>
  </si>
  <si>
    <t>1.02x</t>
  </si>
  <si>
    <t>0.8%</t>
  </si>
  <si>
    <t>ILI</t>
  </si>
  <si>
    <t>IME Life Insurance Company Ltd</t>
  </si>
  <si>
    <t>2023-08-06</t>
  </si>
  <si>
    <t>1.01x</t>
  </si>
  <si>
    <t>0.3%</t>
  </si>
  <si>
    <t>GCIL</t>
  </si>
  <si>
    <t>Garima Capital Investment Ltd</t>
  </si>
  <si>
    <t>2023-08-13</t>
  </si>
  <si>
    <t>2.7 yrs</t>
  </si>
  <si>
    <t>1.05x</t>
  </si>
  <si>
    <t>1.6%</t>
  </si>
  <si>
    <t>KBSH</t>
  </si>
  <si>
    <t>Kutheli Bukhari Small Hydro Ltd</t>
  </si>
  <si>
    <t>2023-08-21</t>
  </si>
  <si>
    <t>3.55x</t>
  </si>
  <si>
    <t>59.5%</t>
  </si>
  <si>
    <t>RNLI</t>
  </si>
  <si>
    <t>Reliance Nippon Life Insurance Ltd</t>
  </si>
  <si>
    <t>2023-09-17</t>
  </si>
  <si>
    <t>2.6 yrs</t>
  </si>
  <si>
    <t>1.25x</t>
  </si>
  <si>
    <t>SNLI</t>
  </si>
  <si>
    <t>Sanima Life Insurance Ltd</t>
  </si>
  <si>
    <t>2023-09-21</t>
  </si>
  <si>
    <t>1.52x</t>
  </si>
  <si>
    <t>17.3%</t>
  </si>
  <si>
    <t>ULHC</t>
  </si>
  <si>
    <t>Upper Langtang Hydro Company</t>
  </si>
  <si>
    <t>2023-09-25</t>
  </si>
  <si>
    <t>1.93x</t>
  </si>
  <si>
    <t>28.6%</t>
  </si>
  <si>
    <t>MEHL</t>
  </si>
  <si>
    <t>Molung Energy Hydropower Ltd</t>
  </si>
  <si>
    <t>22.3%</t>
  </si>
  <si>
    <t>CLI</t>
  </si>
  <si>
    <t>Civil Life Insurance Company Ltd</t>
  </si>
  <si>
    <t>2023-10-01</t>
  </si>
  <si>
    <t>1.39x</t>
  </si>
  <si>
    <t>13.6%</t>
  </si>
  <si>
    <t>HATHY</t>
  </si>
  <si>
    <t>Hattikharka Hydropower Ltd</t>
  </si>
  <si>
    <t>2023-10-11</t>
  </si>
  <si>
    <t>3.53x</t>
  </si>
  <si>
    <t>63.3%</t>
  </si>
  <si>
    <t>MANDU</t>
  </si>
  <si>
    <t>Mandu Hydropower Ltd</t>
  </si>
  <si>
    <t>2.02x</t>
  </si>
  <si>
    <t>31.5%</t>
  </si>
  <si>
    <t>MSHL</t>
  </si>
  <si>
    <t>Madi Shangrila Hydropower Ltd</t>
  </si>
  <si>
    <t>2023-10-12</t>
  </si>
  <si>
    <t>41.3%</t>
  </si>
  <si>
    <t>BGWT</t>
  </si>
  <si>
    <t>Bageshwori Hydropower &amp; Trading Co</t>
  </si>
  <si>
    <t>2.03x</t>
  </si>
  <si>
    <t>31.7%</t>
  </si>
  <si>
    <t>SONA</t>
  </si>
  <si>
    <t>Sona Microfinance Ltd</t>
  </si>
  <si>
    <t>2023-10-29</t>
  </si>
  <si>
    <t>2.5 yrs</t>
  </si>
  <si>
    <t>13.9%</t>
  </si>
  <si>
    <t>MMKJL</t>
  </si>
  <si>
    <t>Manmohan Khola Jalvidhyut Ltd</t>
  </si>
  <si>
    <t>2023-11-20</t>
  </si>
  <si>
    <t>1.89x</t>
  </si>
  <si>
    <t>29.4%</t>
  </si>
  <si>
    <t>TVCL</t>
  </si>
  <si>
    <t>Triveni Urja Company Ltd</t>
  </si>
  <si>
    <t>2023-12-07</t>
  </si>
  <si>
    <t>2.4 yrs</t>
  </si>
  <si>
    <t>1.90x</t>
  </si>
  <si>
    <t>PMLI</t>
  </si>
  <si>
    <t>Prime Life Insurance Company Ltd</t>
  </si>
  <si>
    <t>2023-12-19</t>
  </si>
  <si>
    <t>0.99x</t>
  </si>
  <si>
    <t>-0.2%</t>
  </si>
  <si>
    <t>VLUCL</t>
  </si>
  <si>
    <t>Valche Urja Company Ltd</t>
  </si>
  <si>
    <t>2023-12-21</t>
  </si>
  <si>
    <t>1.21x</t>
  </si>
  <si>
    <t>8.2%</t>
  </si>
  <si>
    <t>CKHL</t>
  </si>
  <si>
    <t>Chun Khola Hydropower Ltd</t>
  </si>
  <si>
    <t>2.05x</t>
  </si>
  <si>
    <t>35.1%</t>
  </si>
  <si>
    <t>NWCL</t>
  </si>
  <si>
    <t>North Western Urja Company Ltd</t>
  </si>
  <si>
    <t>3.48x</t>
  </si>
  <si>
    <t>69.0%</t>
  </si>
  <si>
    <t>HRL</t>
  </si>
  <si>
    <t>Himal Renew Power Ltd</t>
  </si>
  <si>
    <t>2024-01-08</t>
  </si>
  <si>
    <t>2.3 yrs</t>
  </si>
  <si>
    <t>39.4%</t>
  </si>
  <si>
    <t>SARBTM</t>
  </si>
  <si>
    <t>Sarathi Bikas Laghubitta</t>
  </si>
  <si>
    <t>2024-03-19</t>
  </si>
  <si>
    <t>2.1 yrs</t>
  </si>
  <si>
    <t>1.60x</t>
  </si>
  <si>
    <t>24.4%</t>
  </si>
  <si>
    <t>NMLBBL</t>
  </si>
  <si>
    <t>Nepal Microfinance Laghubitta Bittiya</t>
  </si>
  <si>
    <t>2024-05-19</t>
  </si>
  <si>
    <t>2.0 yrs</t>
  </si>
  <si>
    <t>0.95x</t>
  </si>
  <si>
    <t>-2.8%</t>
  </si>
  <si>
    <t>MATRI</t>
  </si>
  <si>
    <t>Matribhumi Laghubitta Bittiya Sanstha</t>
  </si>
  <si>
    <t>2024-08-13</t>
  </si>
  <si>
    <t>1.7 yrs</t>
  </si>
  <si>
    <t>0.64x</t>
  </si>
  <si>
    <t>-22.7%</t>
  </si>
  <si>
    <t>SMPDA</t>
  </si>
  <si>
    <t>Sampada Laghubitta Bittiya Sanstha</t>
  </si>
  <si>
    <t>2024-08-18</t>
  </si>
  <si>
    <t>0.72x</t>
  </si>
  <si>
    <t>-17.2%</t>
  </si>
  <si>
    <t>GMLI</t>
  </si>
  <si>
    <t>Global IME Laghubitta Sanstha Ltd</t>
  </si>
  <si>
    <t>2025-02-09</t>
  </si>
  <si>
    <t>1.2 yrs</t>
  </si>
  <si>
    <t>3.91x</t>
  </si>
  <si>
    <t>200.3%</t>
  </si>
  <si>
    <t>NMIC</t>
  </si>
  <si>
    <t>National Microfinance Laghubitta</t>
  </si>
  <si>
    <t>2025-04-08</t>
  </si>
  <si>
    <t>1.1 yrs</t>
  </si>
  <si>
    <t>3.03x</t>
  </si>
  <si>
    <t>178.3%</t>
  </si>
  <si>
    <t>CREST</t>
  </si>
  <si>
    <t>Crest Hydropower Ltd</t>
  </si>
  <si>
    <t>2025-04-10</t>
  </si>
  <si>
    <t>3.25x</t>
  </si>
  <si>
    <t>199.1%</t>
  </si>
  <si>
    <t>OMPL</t>
  </si>
  <si>
    <t>Om Power Company Ltd</t>
  </si>
  <si>
    <t>2025-05-04</t>
  </si>
  <si>
    <t>1.0 yrs</t>
  </si>
  <si>
    <t>3.94x</t>
  </si>
  <si>
    <t>288.5%</t>
  </si>
  <si>
    <t>PURE</t>
  </si>
  <si>
    <t>Purendu Hydropower Ltd</t>
  </si>
  <si>
    <t>2025-05-27</t>
  </si>
  <si>
    <t>11 mo</t>
  </si>
  <si>
    <t>3.07x</t>
  </si>
  <si>
    <t>226.8%</t>
  </si>
  <si>
    <t>RSY</t>
  </si>
  <si>
    <t>Rastriya Samriddhi Yojana</t>
  </si>
  <si>
    <t>2025-06-26</t>
  </si>
  <si>
    <t>10 mo</t>
  </si>
  <si>
    <t>1.12x</t>
  </si>
  <si>
    <t>TTL</t>
  </si>
  <si>
    <t>Tata Tech Ltd</t>
  </si>
  <si>
    <t>2025-07-17</t>
  </si>
  <si>
    <t>2.04x</t>
  </si>
  <si>
    <t>141.2%</t>
  </si>
  <si>
    <t>SANVI</t>
  </si>
  <si>
    <t>Sanima Vi-Net Company Ltd</t>
  </si>
  <si>
    <t>2025-07-20</t>
  </si>
  <si>
    <t>1.73x</t>
  </si>
  <si>
    <t>98.8%</t>
  </si>
  <si>
    <t>BHCL</t>
  </si>
  <si>
    <t>Budhigandaki Hydropower Company Ltd</t>
  </si>
  <si>
    <t>2025-08-20</t>
  </si>
  <si>
    <t>9 mo</t>
  </si>
  <si>
    <t>93.5%</t>
  </si>
  <si>
    <t>HIMSTAR</t>
  </si>
  <si>
    <t>Himalayan Star Hydropower Ltd</t>
  </si>
  <si>
    <t>2025-09-01</t>
  </si>
  <si>
    <t>8 mo</t>
  </si>
  <si>
    <t>3.40x</t>
  </si>
  <si>
    <t>502.4%</t>
  </si>
  <si>
    <t>MABEL</t>
  </si>
  <si>
    <t>Mabe Hydropower Ltd</t>
  </si>
  <si>
    <t>2025-11-04</t>
  </si>
  <si>
    <t>6 mo</t>
  </si>
  <si>
    <t>251.0%</t>
  </si>
  <si>
    <t>DHEL</t>
  </si>
  <si>
    <t>Dharan Hydropower Ltd</t>
  </si>
  <si>
    <t>2025-11-06</t>
  </si>
  <si>
    <t>83.1%</t>
  </si>
  <si>
    <t>SAGAR</t>
  </si>
  <si>
    <t>Sagar Hydropower Ltd</t>
  </si>
  <si>
    <t>2025-11-09</t>
  </si>
  <si>
    <t>4.92x</t>
  </si>
  <si>
    <t>2,436.1%</t>
  </si>
  <si>
    <t>BUNGAL</t>
  </si>
  <si>
    <t>Bungal Hydropower Ltd</t>
  </si>
  <si>
    <t>2025-11-10</t>
  </si>
  <si>
    <t>199.2%</t>
  </si>
  <si>
    <t>SWASTIK</t>
  </si>
  <si>
    <t>Swastik Hydropower Ltd</t>
  </si>
  <si>
    <t>2025-11-11</t>
  </si>
  <si>
    <t>6.10x</t>
  </si>
  <si>
    <t>3,987.2%</t>
  </si>
  <si>
    <t>BANDIPUR</t>
  </si>
  <si>
    <t>Bandipur Hydropower Ltd</t>
  </si>
  <si>
    <t>2.65x</t>
  </si>
  <si>
    <t>641.0%</t>
  </si>
  <si>
    <t>JHAPA</t>
  </si>
  <si>
    <t>Jhapa Hydropower Ltd</t>
  </si>
  <si>
    <t>2025-11-16</t>
  </si>
  <si>
    <t>5.91x</t>
  </si>
  <si>
    <t>4,160.2%</t>
  </si>
  <si>
    <t>SAIL</t>
  </si>
  <si>
    <t>Sail Laghubitta Bittiya Sanstha</t>
  </si>
  <si>
    <t>2025-11-24</t>
  </si>
  <si>
    <t>5 mo</t>
  </si>
  <si>
    <t>3.45x</t>
  </si>
  <si>
    <t>1,451.6%</t>
  </si>
  <si>
    <t>SYPNL</t>
  </si>
  <si>
    <t>Syangia Power Nepal Ltd</t>
  </si>
  <si>
    <t>2025-12-10</t>
  </si>
  <si>
    <t>4.17x</t>
  </si>
  <si>
    <t>3,203.8%</t>
  </si>
  <si>
    <t>SABBL</t>
  </si>
  <si>
    <t>Sahara Bikas Laghubitta Bittiya Sanstha</t>
  </si>
  <si>
    <t>2026-02-16</t>
  </si>
  <si>
    <t>3 mo</t>
  </si>
  <si>
    <t>3.74x</t>
  </si>
  <si>
    <t>38,314.5%</t>
  </si>
  <si>
    <t>RSML</t>
  </si>
  <si>
    <t>Ratna Sagar Microfinance Ltd</t>
  </si>
  <si>
    <t>0 mo</t>
  </si>
  <si>
    <t>&gt;99,999%</t>
  </si>
  <si>
    <t>Equities: 77  ·  Profitable: 72  ·  Loss: 5  ·  Avg CAGR: 761.4%</t>
  </si>
  <si>
    <t>🟣  NEPSE New Listings — Mutual Fund Performance Tracker</t>
  </si>
  <si>
    <t>Sorted oldest → newest  ·  21 mutual fund listings  ·  As of May 09, 2026  ·  Base investment NPR 100,000</t>
  </si>
  <si>
    <t>Fund Name</t>
  </si>
  <si>
    <t>GIBF1</t>
  </si>
  <si>
    <t>Global IME Balance Fund I</t>
  </si>
  <si>
    <t>2022-09-28</t>
  </si>
  <si>
    <t>3.64x</t>
  </si>
  <si>
    <t>43.1%</t>
  </si>
  <si>
    <t>SAGF</t>
  </si>
  <si>
    <t>Siddhartha Ambition Growth Fund</t>
  </si>
  <si>
    <t>2023-03-15</t>
  </si>
  <si>
    <t>3.59x</t>
  </si>
  <si>
    <t>50.1%</t>
  </si>
  <si>
    <t>NSIF2</t>
  </si>
  <si>
    <t>NMB Sulav Investment Fund II</t>
  </si>
  <si>
    <t>2023-04-03</t>
  </si>
  <si>
    <t>3.60x</t>
  </si>
  <si>
    <t>51.2%</t>
  </si>
  <si>
    <t>SFEF</t>
  </si>
  <si>
    <t>Sunrise Focused Equity Fund</t>
  </si>
  <si>
    <t>2023-04-20</t>
  </si>
  <si>
    <t>2.80x</t>
  </si>
  <si>
    <t>40.2%</t>
  </si>
  <si>
    <t>NIBLGF</t>
  </si>
  <si>
    <t>NIBL Growth Fund</t>
  </si>
  <si>
    <t>2023-04-27</t>
  </si>
  <si>
    <t>2.88x</t>
  </si>
  <si>
    <t>41.8%</t>
  </si>
  <si>
    <t>PRSF</t>
  </si>
  <si>
    <t>Prabhu Rising Star Fund</t>
  </si>
  <si>
    <t>3.21x</t>
  </si>
  <si>
    <t>49.1%</t>
  </si>
  <si>
    <t>RMF2</t>
  </si>
  <si>
    <t>Rastriya Mutual Fund II</t>
  </si>
  <si>
    <t>2023-07-30</t>
  </si>
  <si>
    <t>3.24x</t>
  </si>
  <si>
    <t>52.9%</t>
  </si>
  <si>
    <t>C30MF</t>
  </si>
  <si>
    <t>Citizens Mutual Fund 30</t>
  </si>
  <si>
    <t>2023-08-14</t>
  </si>
  <si>
    <t>3.34x</t>
  </si>
  <si>
    <t>55.6%</t>
  </si>
  <si>
    <t>LVF2</t>
  </si>
  <si>
    <t>Laxmi Value Fund II</t>
  </si>
  <si>
    <t>2.90x</t>
  </si>
  <si>
    <t>50.0%</t>
  </si>
  <si>
    <t>SIGS3</t>
  </si>
  <si>
    <t>Sanima Growth Scheme III</t>
  </si>
  <si>
    <t>2024-01-04</t>
  </si>
  <si>
    <t>4.09x</t>
  </si>
  <si>
    <t>82.5%</t>
  </si>
  <si>
    <t>H8020</t>
  </si>
  <si>
    <t>Himalayan 80-20 Fund</t>
  </si>
  <si>
    <t>2024-01-14</t>
  </si>
  <si>
    <t>3.35x</t>
  </si>
  <si>
    <t>68.7%</t>
  </si>
  <si>
    <t>NICGF2</t>
  </si>
  <si>
    <t>NIC Asia Growth Fund II</t>
  </si>
  <si>
    <t>2024-02-11</t>
  </si>
  <si>
    <t>2.2 yrs</t>
  </si>
  <si>
    <t>1.06x</t>
  </si>
  <si>
    <t>2.5%</t>
  </si>
  <si>
    <t>KSY</t>
  </si>
  <si>
    <t>Kumari Sabal Yojana</t>
  </si>
  <si>
    <t>2024-05-05</t>
  </si>
  <si>
    <t>1.83x</t>
  </si>
  <si>
    <t>NIBLSTF</t>
  </si>
  <si>
    <t>NIBL Stable Fund</t>
  </si>
  <si>
    <t>2024-06-03</t>
  </si>
  <si>
    <t>1.9 yrs</t>
  </si>
  <si>
    <t>MNMF1</t>
  </si>
  <si>
    <t>Muktinath Mutual Fund I</t>
  </si>
  <si>
    <t>2025-01-16</t>
  </si>
  <si>
    <t>1.3 yrs</t>
  </si>
  <si>
    <t>1.43x</t>
  </si>
  <si>
    <t>31.6%</t>
  </si>
  <si>
    <t>GSY</t>
  </si>
  <si>
    <t>Garima Samriddhi Yojana</t>
  </si>
  <si>
    <t>2025-02-20</t>
  </si>
  <si>
    <t>47.9%</t>
  </si>
  <si>
    <t>NMBHF2</t>
  </si>
  <si>
    <t>NMB Hybrid Fund L-II</t>
  </si>
  <si>
    <t>2025-04-21</t>
  </si>
  <si>
    <t>1.04x</t>
  </si>
  <si>
    <t>3.8%</t>
  </si>
  <si>
    <t>MBLEF</t>
  </si>
  <si>
    <t>MBL Equity Fund</t>
  </si>
  <si>
    <t>2025-05-22</t>
  </si>
  <si>
    <t>12 mo</t>
  </si>
  <si>
    <t>1.11x</t>
  </si>
  <si>
    <t>11.8%</t>
  </si>
  <si>
    <t>GBIMESY2</t>
  </si>
  <si>
    <t>Global IME Equity Scheme II</t>
  </si>
  <si>
    <t>2025-08-28</t>
  </si>
  <si>
    <t>0.93x</t>
  </si>
  <si>
    <t>-9.9%</t>
  </si>
  <si>
    <t>HLICF</t>
  </si>
  <si>
    <t>HLI Large Cap Fund</t>
  </si>
  <si>
    <t>2025-11-05</t>
  </si>
  <si>
    <t>-10.0%</t>
  </si>
  <si>
    <t>RBBF40</t>
  </si>
  <si>
    <t>RBB Focus 40 Fund</t>
  </si>
  <si>
    <t>2026-01-18</t>
  </si>
  <si>
    <t>4 mo</t>
  </si>
  <si>
    <t>-3.5%</t>
  </si>
  <si>
    <t>Mutual Funds: 21  ·  Profitable: 18  ·  Loss: 3  ·  Avg CAGR: 33.2%</t>
  </si>
  <si>
    <t>🔀  NEPSE — Merger Relisted Companies Performance Tracker</t>
  </si>
  <si>
    <t>Companies relisted after merger  ·  11 entries  ·  As of May 09, 2026  ·  Base investment NPR 100,000</t>
  </si>
  <si>
    <t>Merged From (Entities)</t>
  </si>
  <si>
    <t>Time Since</t>
  </si>
  <si>
    <t>DLBS</t>
  </si>
  <si>
    <t>Dhaulagiri Laghubitta Bittiya Sanstha</t>
  </si>
  <si>
    <t>DLBS + Khaptad Laghubitta</t>
  </si>
  <si>
    <t>2022-10-23</t>
  </si>
  <si>
    <t>7.34x</t>
  </si>
  <si>
    <t>75.6%</t>
  </si>
  <si>
    <t>SGIC</t>
  </si>
  <si>
    <t>Sanima GIC Insurance Ltd</t>
  </si>
  <si>
    <t>Sanima General + GIC Insurance</t>
  </si>
  <si>
    <t>2023-01-23</t>
  </si>
  <si>
    <t>1.29x</t>
  </si>
  <si>
    <t>8.1%</t>
  </si>
  <si>
    <t>NIMB</t>
  </si>
  <si>
    <t>Nepal Investment Mega Bank Ltd</t>
  </si>
  <si>
    <t>MEGA + NIB</t>
  </si>
  <si>
    <t>2023-02-23</t>
  </si>
  <si>
    <t>0.92x</t>
  </si>
  <si>
    <t>-2.4%</t>
  </si>
  <si>
    <t>UNLB</t>
  </si>
  <si>
    <t>Unique Nepal Laghubitta Bittiya Sanstha</t>
  </si>
  <si>
    <t>UNLB + Ghodighoda Laghubitta</t>
  </si>
  <si>
    <t>2023-02-28</t>
  </si>
  <si>
    <t>1.48x</t>
  </si>
  <si>
    <t>13.0%</t>
  </si>
  <si>
    <t>CITY</t>
  </si>
  <si>
    <t>Citizens Bank International Ltd</t>
  </si>
  <si>
    <t>Citizens Bank + NCC Bank</t>
  </si>
  <si>
    <t>2023-06-11</t>
  </si>
  <si>
    <t>3.77x</t>
  </si>
  <si>
    <t>57.9%</t>
  </si>
  <si>
    <t>HLI</t>
  </si>
  <si>
    <t>Himalayan Life Insurance Ltd</t>
  </si>
  <si>
    <t>Gurans Life + Prime Life + Union Life</t>
  </si>
  <si>
    <t>2023-06-22</t>
  </si>
  <si>
    <t>1.3%</t>
  </si>
  <si>
    <t>NRM</t>
  </si>
  <si>
    <t>NRN Laghubitta Bittiya Sanstha</t>
  </si>
  <si>
    <t>National + Rural Microfinance merger</t>
  </si>
  <si>
    <t>1.42x</t>
  </si>
  <si>
    <t>13.7%</t>
  </si>
  <si>
    <t>USHL</t>
  </si>
  <si>
    <t>Unnati Sahakarya Hydropower Ltd</t>
  </si>
  <si>
    <t>Unnati Sahakarya + merger</t>
  </si>
  <si>
    <t>2.29x</t>
  </si>
  <si>
    <t>35.5%</t>
  </si>
  <si>
    <t>TSHL</t>
  </si>
  <si>
    <t>Tinau Sahakarya Hydropower Ltd</t>
  </si>
  <si>
    <t>Tewa Sahakarya + merger</t>
  </si>
  <si>
    <t>32.9%</t>
  </si>
  <si>
    <t>LSL</t>
  </si>
  <si>
    <t>Laxmi Sunrise Bank Ltd</t>
  </si>
  <si>
    <t>Laxmi Bank + Sunrise Bank</t>
  </si>
  <si>
    <t>2023-08-28</t>
  </si>
  <si>
    <t>15.8%</t>
  </si>
  <si>
    <t>MKCL</t>
  </si>
  <si>
    <t>Muktinath Krishi Company Ltd</t>
  </si>
  <si>
    <t>Muktinath Krishi + FPO relisting</t>
  </si>
  <si>
    <t>2023-12-14</t>
  </si>
  <si>
    <t>7.09x</t>
  </si>
  <si>
    <t>126.3%</t>
  </si>
  <si>
    <t>🔵  NEPSE New Listings — Debenture / Bond Performance Tracker</t>
  </si>
  <si>
    <t>Sorted oldest → newest  ·  17 debenture listings  ·  As of May 09, 2026  ·  Base investment NPR 100,000</t>
  </si>
  <si>
    <t>Debenture Name</t>
  </si>
  <si>
    <t>Issuing Bank / Company</t>
  </si>
  <si>
    <t>Issue Price (NPR)</t>
  </si>
  <si>
    <t>SBID83</t>
  </si>
  <si>
    <t>Siddhartha Bank Debenture 2083</t>
  </si>
  <si>
    <t>Siddhartha Bank Ltd</t>
  </si>
  <si>
    <t>1.07x</t>
  </si>
  <si>
    <t>2.1%</t>
  </si>
  <si>
    <t>PBLD87</t>
  </si>
  <si>
    <t>Prabhu Bank Debenture 2087</t>
  </si>
  <si>
    <t>Prabhu Bank Ltd</t>
  </si>
  <si>
    <t>2022-11-30</t>
  </si>
  <si>
    <t>3.0%</t>
  </si>
  <si>
    <t>CIZBD86</t>
  </si>
  <si>
    <t>Citizens Bank Debenture 2086</t>
  </si>
  <si>
    <t>2023-07-10</t>
  </si>
  <si>
    <t>1.15x</t>
  </si>
  <si>
    <t>5.2%</t>
  </si>
  <si>
    <t>HBLD86</t>
  </si>
  <si>
    <t>Himalayan Bank Debenture 2086</t>
  </si>
  <si>
    <t>Himalayan Bank Ltd</t>
  </si>
  <si>
    <t>2023-12-18</t>
  </si>
  <si>
    <t>6.0%</t>
  </si>
  <si>
    <t>RBBD83</t>
  </si>
  <si>
    <t>Rastriya Banijya Bank Debenture 2083</t>
  </si>
  <si>
    <t>Rastriya Banijya Bank</t>
  </si>
  <si>
    <t>2023-12-20</t>
  </si>
  <si>
    <t>1.09x</t>
  </si>
  <si>
    <t>SBID89</t>
  </si>
  <si>
    <t>Siddhartha Bank Debenture 2089</t>
  </si>
  <si>
    <t>2024-01-03</t>
  </si>
  <si>
    <t>5.8%</t>
  </si>
  <si>
    <t>MLBLD89</t>
  </si>
  <si>
    <t>Machhapuchchhre Bank Debenture 2089</t>
  </si>
  <si>
    <t>Machhapuchchhre Bank Ltd</t>
  </si>
  <si>
    <t>2024-04-29</t>
  </si>
  <si>
    <t>8.4%</t>
  </si>
  <si>
    <t>CIZBD90</t>
  </si>
  <si>
    <t>Citizens Bank Debenture 2090</t>
  </si>
  <si>
    <t>2024-04-30</t>
  </si>
  <si>
    <t>1.24x</t>
  </si>
  <si>
    <t>11.2%</t>
  </si>
  <si>
    <t>BOKD86KA</t>
  </si>
  <si>
    <t>Bank of Kathmandu Debenture 2086 (A)</t>
  </si>
  <si>
    <t>Bank of Kathmandu Ltd</t>
  </si>
  <si>
    <t>2024-06-24</t>
  </si>
  <si>
    <t>10.3%</t>
  </si>
  <si>
    <t>ICFCD88</t>
  </si>
  <si>
    <t>ICFC Finance Debenture 2088</t>
  </si>
  <si>
    <t>ICFC Finance Company Ltd</t>
  </si>
  <si>
    <t>2025-03-09</t>
  </si>
  <si>
    <t>4.3%</t>
  </si>
  <si>
    <t>EBLD91</t>
  </si>
  <si>
    <t>Everest Bank Debenture 2091</t>
  </si>
  <si>
    <t>Everest Bank Ltd</t>
  </si>
  <si>
    <t>2025-05-21</t>
  </si>
  <si>
    <t>NIFRAGED</t>
  </si>
  <si>
    <t>Nifra Gorge Hydropower Debenture</t>
  </si>
  <si>
    <t>Nifra Gorge Hydropower Ltd</t>
  </si>
  <si>
    <t>2025-07-15</t>
  </si>
  <si>
    <t>1.03x</t>
  </si>
  <si>
    <t>RBBD2088</t>
  </si>
  <si>
    <t>Rastriya Banijya Bank Debenture 2088</t>
  </si>
  <si>
    <t>2025-08-04</t>
  </si>
  <si>
    <t>10.6%</t>
  </si>
  <si>
    <t>SBLD2091</t>
  </si>
  <si>
    <t>Siddhartha Bank Debenture 2091</t>
  </si>
  <si>
    <t>2025-09-23</t>
  </si>
  <si>
    <t>7 mo</t>
  </si>
  <si>
    <t>5.7%</t>
  </si>
  <si>
    <t>NICAD2091</t>
  </si>
  <si>
    <t>NIC Asia Debenture 2091</t>
  </si>
  <si>
    <t>NIC Asia Bank Ltd</t>
  </si>
  <si>
    <t>2025-10-07</t>
  </si>
  <si>
    <t>1.00x</t>
  </si>
  <si>
    <t>-0.5%</t>
  </si>
  <si>
    <t>SHINED</t>
  </si>
  <si>
    <t>Shine Resunga Development Bank Debenture</t>
  </si>
  <si>
    <t>Shine Resunga Development Bank</t>
  </si>
  <si>
    <t>4.7%</t>
  </si>
  <si>
    <t>NABILD2089</t>
  </si>
  <si>
    <t>Nabil Bank Debenture 2089</t>
  </si>
  <si>
    <t>Nabil Bank Ltd</t>
  </si>
  <si>
    <t>-1.8%</t>
  </si>
  <si>
    <t>Debentures: 17  ·  Profitable: 15  ·  Loss: 2  ·  Avg CAGR: 5.1%</t>
  </si>
  <si>
    <t>📈   New IPO Listings Since Nepse low of 1,815.13 ( 2022-09-25)— Performance Tracker</t>
  </si>
  <si>
    <t>Years</t>
  </si>
  <si>
    <t>TrueCAGR</t>
  </si>
  <si>
    <t>IPO Performance Analysis — CAGR vs Holding Period</t>
  </si>
  <si>
    <t>As of 2026-05-09 · 76 IPO listings analyzed · Source: '📈 Equities IPO's'</t>
  </si>
  <si>
    <t>Holding Period Buckets</t>
  </si>
  <si>
    <t>Bucket</t>
  </si>
  <si>
    <t>Min Yrs</t>
  </si>
  <si>
    <t>Max Yrs</t>
  </si>
  <si>
    <t># IPOs</t>
  </si>
  <si>
    <t>Avg CAGR</t>
  </si>
  <si>
    <t>Median CAGR</t>
  </si>
  <si>
    <t>Min CAGR</t>
  </si>
  <si>
    <t>Max CAGR</t>
  </si>
  <si>
    <t>&lt; 0.5 yr (very recent)</t>
  </si>
  <si>
    <t>0.5 – 1 yr</t>
  </si>
  <si>
    <t>1 – 1.5 yrs</t>
  </si>
  <si>
    <t>1.5 – 2 yrs</t>
  </si>
  <si>
    <t>2 – 2.5 yrs</t>
  </si>
  <si>
    <t>2.5 – 3 yrs</t>
  </si>
  <si>
    <t>3 – 3.5 yrs</t>
  </si>
  <si>
    <t>3.5+ yrs</t>
  </si>
  <si>
    <t>⚠ Note: CAGR for very recent listings (&lt;1 yr) annualizes short-period returns and produces extreme values. The "sweet spot" comparison below uses the more reliable 1+ year cohort.</t>
  </si>
  <si>
    <t>Statistical Analysis (cohort: 1+ yr listings, n=59)</t>
  </si>
  <si>
    <t>Metric</t>
  </si>
  <si>
    <t>Value</t>
  </si>
  <si>
    <t>Interpretation</t>
  </si>
  <si>
    <t>Sample size (n)</t>
  </si>
  <si>
    <t>IPOs with ≥1 yr of trading history</t>
  </si>
  <si>
    <t>Mean CAGR</t>
  </si>
  <si>
    <t>Average annualized return across cohort</t>
  </si>
  <si>
    <t>Typical IPO outcome (less skewed by outliers)</t>
  </si>
  <si>
    <t>Std deviation</t>
  </si>
  <si>
    <t>Spread of returns — volatility across IPOs</t>
  </si>
  <si>
    <t>Correlation: Years vs CAGR</t>
  </si>
  <si>
    <t>Negative = older IPOs trend lower CAGR; closer to -1 is stronger</t>
  </si>
  <si>
    <t>Loss rate</t>
  </si>
  <si>
    <t>Share of all 76 IPOs trading below issue price today</t>
  </si>
  <si>
    <t>Median holding</t>
  </si>
  <si>
    <t>Median time-since-listing across the dataset</t>
  </si>
  <si>
    <t>Best &amp; Worst Holding-Period Buckets</t>
  </si>
  <si>
    <t>Best bucket (by median CAGR, excl. &lt;1 yr)</t>
  </si>
  <si>
    <t>Median CAGR:</t>
  </si>
  <si>
    <t>Worst bucket (by median CAGR, excl. &lt;1 yr)</t>
  </si>
  <si>
    <t>Spread (best vs worst)</t>
  </si>
  <si>
    <t>Key Findings</t>
  </si>
  <si>
    <t>Newer IPOs are massively outperforming. The &lt;1 yr cohort shows extreme annualized returns (driven by recent listings doubling/tripling within months). Even normalized, the 1–1.5 yr bucket leads with median CAGR of ~199%.</t>
  </si>
  <si>
    <t>The 1.5–2 yr cohort is the worst-performing: 3 of 3 IPOs in that bucket are below issue price (MATRI, SMPDA, NMLBBL). All three are microfinance issuers — sector concentration risk.</t>
  </si>
  <si>
    <t>Negative correlation (-0.61) between holding period and CAGR confirms the pattern: the longer an IPO has been listed, the lower its annualized return. Recent NEPSE rally is lifting newer issues disproportionately.</t>
  </si>
  <si>
    <t>Insurance &amp; microfinance IPOs dominate the loss list: 7 of 12 losers are life-insurance, 3 are microfinance. Hydropower IPOs have a near-zero failure rate in this dataset.</t>
  </si>
  <si>
    <t>Loss rate is 15.8% (12 of 76). Headline mean CAGR of 30.9% (1+ yr cohort) overstates the median experience of 15.2% — a few large winners (KDL, ANLB, recent listings) skew the average upward.</t>
  </si>
  <si>
    <t>0.5-1 yr</t>
  </si>
  <si>
    <t>1-1.5 yrs</t>
  </si>
  <si>
    <t>1.5-2 yrs</t>
  </si>
  <si>
    <t>2-2.5 yrs</t>
  </si>
  <si>
    <t>2.5-3 yrs</t>
  </si>
  <si>
    <t>3-3.5 yrs</t>
  </si>
  <si>
    <t>Strategy Conclusions</t>
  </si>
  <si>
    <t>Q:</t>
  </si>
  <si>
    <t>Should you buy IPOs and sell at 6 months to maximize expected returns?</t>
  </si>
  <si>
    <t>A:</t>
  </si>
  <si>
    <t>No. The high CAGRs in the &lt;1 yr cohort are a math artifact of annualizing very short holding periods (a 3-month 3.7x becomes a "38,000% CAGR"), not a repeatable edge. The real sweet spot is 2–3 years.</t>
  </si>
  <si>
    <t>Recommended Holding Window</t>
  </si>
  <si>
    <t>✅ Sweet spot:</t>
  </si>
  <si>
    <t>2 to 3 years post-listing. n=32, median CAGR ~25%, large enough sample to be reliable, low loss rate, and stocks haven't yet entered the post-3yr decay zone.</t>
  </si>
  <si>
    <t>⚠ Avoid:</t>
  </si>
  <si>
    <t>Holding past 3 years — median CAGR drops to ~3%. Returns compress meaningfully (correlation −0.61 between holding period and CAGR confirms this is structural, not noise).</t>
  </si>
  <si>
    <t>❌ Don't:</t>
  </si>
  <si>
    <t>Trade on the 6-month signal. The recent &lt;1 yr outperformance is a NEPSE rally effect (Nov 2025–Feb 2026 issues 3–6x'd in months because the broader market is hot). It's regime-dependent and will normalize when the rally cools.</t>
  </si>
  <si>
    <t>Caveats</t>
  </si>
  <si>
    <t>Sector beats timing. 10 of 12 losers are insurance or microfinance. Hydropower IPOs have a near-zero failure rate. Pick the sector right and the holding window matters less.</t>
  </si>
  <si>
    <t>Survivorship: this dataset is your portfolio of issues that listed and remained tradeable — it doesn't include IPOs that were withdrawn or are still locked up. Real-world results would skew lower.</t>
  </si>
  <si>
    <t>Past returns ≠ future returns. The "2–3 yr sweet spot" reflects what worked for cohorts that listed in 2022–2023; the macro/rate environment then is not the environment now.</t>
  </si>
  <si>
    <t>Merger Relistings: 12  ·  Profitable: 10  ·  Loss: 2  ·  Avg CAGR: ~30%</t>
  </si>
  <si>
    <t>Maya Khola Hydropower Company</t>
  </si>
  <si>
    <t>People Power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</si>
</sst>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[Red]\(0.0%\);\-"/>
    <numFmt numFmtId="165" formatCode="0.000"/>
    <numFmt numFmtId="166" formatCode="0.0%"/>
    <numFmt numFmtId="167" formatCode="0.0&quot; yrs&quot;"/>
    <numFmt numFmtId="168" formatCode="0.0%;[Red]\(0.0%\)"/>
    <numFmt numFmtId="169" formatCode="0.0%\ &quot;pts&quot;"/>
  </numFmts>
  <fonts count="32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9"/>
      <color rgb="FF1B2A4A"/>
      <name val="Arial"/>
      <family val="2"/>
    </font>
    <font>
      <b/>
      <sz val="10"/>
      <color rgb="FFFFFFFF"/>
      <name val="Arial"/>
      <family val="2"/>
    </font>
    <font>
      <sz val="9"/>
      <color rgb="FF1A1A2E"/>
      <name val="Arial"/>
      <family val="2"/>
    </font>
    <font>
      <sz val="9"/>
      <color rgb="FF333333"/>
      <name val="Arial"/>
      <family val="2"/>
    </font>
    <font>
      <sz val="9"/>
      <color rgb="FF444444"/>
      <name val="Arial"/>
      <family val="2"/>
    </font>
    <font>
      <sz val="9"/>
      <color rgb="FF1B5E20"/>
      <name val="Arial"/>
      <family val="2"/>
    </font>
    <font>
      <sz val="9"/>
      <color rgb="FFB71C1C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  <font>
      <b/>
      <sz val="15"/>
      <color rgb="FFFFFFFF"/>
      <name val="Calibri"/>
      <family val="2"/>
    </font>
    <font>
      <i/>
      <sz val="9"/>
      <color rgb="FF1B2A4A"/>
      <name val="Calibri"/>
      <family val="2"/>
    </font>
    <font>
      <b/>
      <sz val="10"/>
      <color rgb="FFFFFFFF"/>
      <name val="Calibri"/>
      <family val="2"/>
    </font>
    <font>
      <sz val="9"/>
      <color rgb="FF1A1A2E"/>
      <name val="Calibri"/>
      <family val="2"/>
    </font>
    <font>
      <sz val="9"/>
      <color rgb="FF333333"/>
      <name val="Calibri"/>
      <family val="2"/>
    </font>
    <font>
      <sz val="9"/>
      <color rgb="FF444444"/>
      <name val="Calibri"/>
      <family val="2"/>
    </font>
    <font>
      <sz val="9"/>
      <color rgb="FF1B5E20"/>
      <name val="Calibri"/>
      <family val="2"/>
    </font>
    <font>
      <sz val="9"/>
      <color rgb="FF7B1A1A"/>
      <name val="Calibri"/>
      <family val="2"/>
    </font>
    <font>
      <b/>
      <sz val="11"/>
      <color theme="1"/>
      <name val="Calibri"/>
      <family val="2"/>
      <charset val="1"/>
    </font>
    <font>
      <b/>
      <sz val="11"/>
      <color rgb="FF1A1A1A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2"/>
      <color rgb="FF1F3864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9C5700"/>
      <name val="Calibri"/>
      <family val="2"/>
      <charset val="1"/>
    </font>
    <font>
      <b/>
      <sz val="11"/>
      <color rgb="FF1F3864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2E7D32"/>
      <name val="Calibri"/>
      <family val="2"/>
      <charset val="1"/>
    </font>
    <font>
      <b/>
      <sz val="11"/>
      <color rgb="FF9C5700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F5E6C0"/>
        <bgColor rgb="FFFFF3E0"/>
      </patternFill>
    </fill>
    <fill>
      <patternFill patternType="solid">
        <fgColor rgb="FFF0F4FA"/>
        <bgColor rgb="FFEBF5FB"/>
      </patternFill>
    </fill>
    <fill>
      <patternFill patternType="solid">
        <fgColor rgb="FFE8F5E9"/>
        <bgColor rgb="FFEBF5FB"/>
      </patternFill>
    </fill>
    <fill>
      <patternFill patternType="solid">
        <fgColor rgb="FFFFEBEE"/>
        <bgColor rgb="FFFFF3E0"/>
      </patternFill>
    </fill>
    <fill>
      <patternFill patternType="solid">
        <fgColor rgb="FFC9A84C"/>
        <bgColor rgb="FFFF9900"/>
      </patternFill>
    </fill>
    <fill>
      <patternFill patternType="solid">
        <fgColor rgb="FF5E35B1"/>
        <bgColor rgb="FF555555"/>
      </patternFill>
    </fill>
    <fill>
      <patternFill patternType="solid">
        <fgColor rgb="FFEDE7F6"/>
        <bgColor rgb="FFF3EEF9"/>
      </patternFill>
    </fill>
    <fill>
      <patternFill patternType="solid">
        <fgColor rgb="FFF3EEF9"/>
        <bgColor rgb="FFF0F4FA"/>
      </patternFill>
    </fill>
    <fill>
      <patternFill patternType="solid">
        <fgColor rgb="FFE65100"/>
        <bgColor rgb="FFB71C1C"/>
      </patternFill>
    </fill>
    <fill>
      <patternFill patternType="solid">
        <fgColor rgb="FFFFF3E0"/>
        <bgColor rgb="FFFFEBEE"/>
      </patternFill>
    </fill>
    <fill>
      <patternFill patternType="solid">
        <fgColor rgb="FFFFFBF0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BF5FB"/>
      </patternFill>
    </fill>
    <fill>
      <patternFill patternType="solid">
        <fgColor rgb="FFEBF5FB"/>
        <bgColor rgb="FFF0F4FA"/>
      </patternFill>
    </fill>
    <fill>
      <patternFill patternType="solid">
        <fgColor rgb="FFC9A84C"/>
        <bgColor indexed="64"/>
      </patternFill>
    </fill>
    <fill>
      <patternFill patternType="solid">
        <fgColor rgb="FFF5E6C0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4" fontId="4" fillId="10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/>
    </xf>
    <xf numFmtId="4" fontId="4" fillId="12" borderId="1" xfId="0" applyNumberFormat="1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4" fontId="4" fillId="13" borderId="1" xfId="0" applyNumberFormat="1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4" fontId="4" fillId="15" borderId="1" xfId="0" applyNumberFormat="1" applyFont="1" applyFill="1" applyBorder="1" applyAlignment="1">
      <alignment horizontal="right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/>
    </xf>
    <xf numFmtId="4" fontId="4" fillId="16" borderId="1" xfId="0" applyNumberFormat="1" applyFont="1" applyFill="1" applyBorder="1" applyAlignment="1">
      <alignment horizontal="right" vertical="center"/>
    </xf>
    <xf numFmtId="0" fontId="0" fillId="19" borderId="0" xfId="0" applyFill="1"/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right" vertical="center"/>
    </xf>
    <xf numFmtId="4" fontId="17" fillId="5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center" vertical="center"/>
    </xf>
    <xf numFmtId="3" fontId="17" fillId="5" borderId="1" xfId="0" applyNumberFormat="1" applyFont="1" applyFill="1" applyBorder="1" applyAlignment="1">
      <alignment horizontal="right" vertical="center"/>
    </xf>
    <xf numFmtId="0" fontId="18" fillId="20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left" vertical="center"/>
    </xf>
    <xf numFmtId="0" fontId="18" fillId="20" borderId="1" xfId="0" applyFont="1" applyFill="1" applyBorder="1" applyAlignment="1">
      <alignment horizontal="left" vertical="center" wrapText="1"/>
    </xf>
    <xf numFmtId="4" fontId="18" fillId="20" borderId="1" xfId="0" applyNumberFormat="1" applyFont="1" applyFill="1" applyBorder="1" applyAlignment="1">
      <alignment horizontal="right" vertical="center"/>
    </xf>
    <xf numFmtId="4" fontId="18" fillId="21" borderId="1" xfId="0" applyNumberFormat="1" applyFont="1" applyFill="1" applyBorder="1" applyAlignment="1">
      <alignment horizontal="right" vertical="center"/>
    </xf>
    <xf numFmtId="0" fontId="18" fillId="21" borderId="1" xfId="0" applyFont="1" applyFill="1" applyBorder="1" applyAlignment="1">
      <alignment horizontal="center" vertical="center"/>
    </xf>
    <xf numFmtId="3" fontId="18" fillId="21" borderId="1" xfId="0" applyNumberFormat="1" applyFont="1" applyFill="1" applyBorder="1" applyAlignment="1">
      <alignment horizontal="right" vertical="center"/>
    </xf>
    <xf numFmtId="0" fontId="19" fillId="0" borderId="0" xfId="0" applyFont="1"/>
    <xf numFmtId="0" fontId="20" fillId="2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3" fillId="22" borderId="0" xfId="0" applyFont="1" applyFill="1"/>
    <xf numFmtId="0" fontId="0" fillId="22" borderId="0" xfId="0" applyFill="1"/>
    <xf numFmtId="0" fontId="24" fillId="23" borderId="0" xfId="0" applyFont="1" applyFill="1"/>
    <xf numFmtId="0" fontId="24" fillId="2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" fontId="0" fillId="19" borderId="0" xfId="0" applyNumberFormat="1" applyFill="1" applyAlignment="1">
      <alignment horizontal="center"/>
    </xf>
    <xf numFmtId="164" fontId="14" fillId="0" borderId="1" xfId="0" applyNumberFormat="1" applyFont="1" applyBorder="1" applyAlignment="1">
      <alignment horizontal="right" vertical="center"/>
    </xf>
    <xf numFmtId="164" fontId="17" fillId="5" borderId="1" xfId="0" applyNumberFormat="1" applyFont="1" applyFill="1" applyBorder="1" applyAlignment="1">
      <alignment horizontal="right" vertical="center"/>
    </xf>
    <xf numFmtId="164" fontId="0" fillId="19" borderId="0" xfId="0" applyNumberFormat="1" applyFill="1" applyAlignment="1">
      <alignment horizontal="right"/>
    </xf>
    <xf numFmtId="164" fontId="16" fillId="0" borderId="1" xfId="0" applyNumberFormat="1" applyFont="1" applyBorder="1" applyAlignment="1">
      <alignment horizontal="right" vertical="center"/>
    </xf>
    <xf numFmtId="164" fontId="16" fillId="19" borderId="1" xfId="0" applyNumberFormat="1" applyFont="1" applyFill="1" applyBorder="1" applyAlignment="1">
      <alignment horizontal="right" vertical="center"/>
    </xf>
    <xf numFmtId="164" fontId="14" fillId="19" borderId="1" xfId="0" applyNumberFormat="1" applyFont="1" applyFill="1" applyBorder="1" applyAlignment="1">
      <alignment horizontal="right" vertical="center"/>
    </xf>
    <xf numFmtId="164" fontId="17" fillId="19" borderId="1" xfId="0" applyNumberFormat="1" applyFont="1" applyFill="1" applyBorder="1" applyAlignment="1">
      <alignment horizontal="right" vertical="center"/>
    </xf>
    <xf numFmtId="0" fontId="25" fillId="24" borderId="0" xfId="0" applyFont="1" applyFill="1"/>
    <xf numFmtId="0" fontId="0" fillId="24" borderId="0" xfId="0" applyFill="1"/>
    <xf numFmtId="0" fontId="24" fillId="23" borderId="0" xfId="0" applyFont="1" applyFill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19" fillId="25" borderId="0" xfId="0" applyFont="1" applyFill="1"/>
    <xf numFmtId="166" fontId="19" fillId="25" borderId="0" xfId="0" applyNumberFormat="1" applyFont="1" applyFill="1" applyAlignment="1">
      <alignment horizontal="right"/>
    </xf>
    <xf numFmtId="0" fontId="19" fillId="21" borderId="0" xfId="0" applyFont="1" applyFill="1"/>
    <xf numFmtId="168" fontId="19" fillId="21" borderId="0" xfId="0" applyNumberFormat="1" applyFont="1" applyFill="1" applyAlignment="1">
      <alignment horizontal="right"/>
    </xf>
    <xf numFmtId="166" fontId="0" fillId="0" borderId="0" xfId="0" applyNumberFormat="1"/>
    <xf numFmtId="169" fontId="19" fillId="0" borderId="0" xfId="0" applyNumberFormat="1" applyFont="1" applyAlignment="1">
      <alignment horizontal="right"/>
    </xf>
    <xf numFmtId="0" fontId="26" fillId="0" borderId="0" xfId="0" applyFont="1"/>
    <xf numFmtId="0" fontId="27" fillId="23" borderId="0" xfId="0" applyFont="1" applyFill="1"/>
    <xf numFmtId="0" fontId="0" fillId="23" borderId="0" xfId="0" applyFill="1"/>
    <xf numFmtId="0" fontId="29" fillId="0" borderId="0" xfId="0" applyFont="1"/>
    <xf numFmtId="0" fontId="26" fillId="25" borderId="0" xfId="0" applyFont="1" applyFill="1"/>
    <xf numFmtId="0" fontId="0" fillId="25" borderId="0" xfId="0" applyFill="1"/>
    <xf numFmtId="0" fontId="30" fillId="0" borderId="0" xfId="0" applyFont="1"/>
    <xf numFmtId="0" fontId="31" fillId="0" borderId="0" xfId="0" applyFont="1"/>
    <xf numFmtId="0" fontId="31" fillId="24" borderId="0" xfId="0" applyFont="1" applyFill="1"/>
    <xf numFmtId="49" fontId="18" fillId="20" borderId="1" xfId="0" applyNumberFormat="1" applyFont="1" applyFill="1" applyBorder="1" applyAlignment="1">
      <alignment horizontal="center" vertical="center"/>
    </xf>
    <xf numFmtId="49" fontId="18" fillId="21" borderId="1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/>
    <xf numFmtId="0" fontId="28" fillId="0" borderId="0" xfId="0" applyFont="1" applyAlignment="1">
      <alignment vertical="top" wrapText="1"/>
    </xf>
    <xf numFmtId="0" fontId="28" fillId="0" borderId="0" xfId="0" applyFont="1"/>
    <xf numFmtId="0" fontId="29" fillId="0" borderId="0" xfId="0" applyFont="1" applyAlignment="1">
      <alignment vertical="top" wrapText="1"/>
    </xf>
    <xf numFmtId="0" fontId="29" fillId="0" borderId="0" xfId="0" applyFont="1"/>
    <xf numFmtId="0" fontId="21" fillId="2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0F4FA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0F4FA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0F4F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BF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5FB"/>
      <rgbColor rgb="FFF5E6C0"/>
      <rgbColor rgb="FFF3EEF9"/>
      <rgbColor rgb="FFF0F4FA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555555"/>
      <rgbColor rgb="FFC9A84C"/>
      <rgbColor rgb="FF1B2A4A"/>
      <rgbColor rgb="FF339966"/>
      <rgbColor rgb="FF1A1A2E"/>
      <rgbColor rgb="FF444444"/>
      <rgbColor rgb="FFB71C1C"/>
      <rgbColor rgb="FF993366"/>
      <rgbColor rgb="FF5E35B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CAGR by Holding Period (1+ yr cohort)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IPO Analysis'!$O$1</c:f>
              <c:strCache>
                <c:ptCount val="1"/>
                <c:pt idx="0">
                  <c:v>Median CAGR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'📊 IPO Analysis'!$O$2:$O$8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'📊 IPO Analysis'!$N$2:$N$8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BCD-0B48-AE5C-B9796D50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092544"/>
        <c:axId val="778095232"/>
      </c:barChart>
      <c:catAx>
        <c:axId val="7780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95232"/>
        <c:crosses val="autoZero"/>
        <c:auto val="1"/>
        <c:lblAlgn val="ctr"/>
        <c:lblOffset val="100"/>
        <c:noMultiLvlLbl val="0"/>
      </c:catAx>
      <c:valAx>
        <c:axId val="7780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9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CAGR by Holding Period (1+ yr cohort)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IPO Analysis'!$O$1</c:f>
              <c:strCache>
                <c:ptCount val="1"/>
                <c:pt idx="0">
                  <c:v>Median CAGR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'📊 IPO Analysis'!$O$2:$O$8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'📊 IPO Analysis'!$N$2:$N$8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B0-1746-A24D-A08AF0380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714240"/>
        <c:axId val="776700352"/>
      </c:barChart>
      <c:catAx>
        <c:axId val="77671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00352"/>
        <c:crosses val="autoZero"/>
        <c:auto val="1"/>
        <c:lblAlgn val="ctr"/>
        <c:lblOffset val="100"/>
        <c:noMultiLvlLbl val="0"/>
      </c:catAx>
      <c:valAx>
        <c:axId val="77670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1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64755-E951-B6F9-7ECD-DB0698DD4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2A8043-0CDE-C5A8-3634-555CFFFF4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453C86-4463-0744-B4F1-6A7BC4D9C82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b651165-73c6-4fd5-9b41-4a460a6d72a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="170" zoomScaleNormal="170" workbookViewId="0">
      <pane ySplit="3" topLeftCell="A4" activePane="bottomLeft" state="frozen"/>
      <selection pane="bottomLeft" activeCell="C13" sqref="C13"/>
    </sheetView>
  </sheetViews>
  <sheetFormatPr baseColWidth="10" defaultColWidth="8.6640625" defaultRowHeight="15" x14ac:dyDescent="0.2"/>
  <cols>
    <col min="1" max="1" width="5" customWidth="1"/>
    <col min="2" max="2" width="9" customWidth="1"/>
    <col min="3" max="3" width="32.6640625" bestFit="1" customWidth="1"/>
    <col min="4" max="4" width="13" customWidth="1"/>
    <col min="5" max="5" width="12" customWidth="1"/>
    <col min="6" max="7" width="14" customWidth="1"/>
    <col min="8" max="9" width="10" customWidth="1"/>
    <col min="10" max="10" width="17" customWidth="1"/>
    <col min="11" max="12" width="12.5" customWidth="1"/>
  </cols>
  <sheetData>
    <row r="1" spans="1:12" ht="33.75" customHeight="1" x14ac:dyDescent="0.2">
      <c r="A1" s="108" t="s">
        <v>656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2" ht="18" customHeight="1" x14ac:dyDescent="0.2">
      <c r="A2" s="109" t="str">
        <f ca="1">"Sorted oldest → newest  ·  "&amp;COUNTA(A4:A79)&amp;" equity listings  ·  As of "&amp;TEXT(TODAY(),"MMM DD, YYYY")&amp;"  ·  Base investment NPR 100,000"</f>
        <v>Sorted oldest → newest  ·  76 equity listings  ·  As of May 10, 2026  ·  Base investment NPR 100,000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2" ht="30" customHeight="1" x14ac:dyDescent="0.2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  <c r="G3" s="50" t="s">
        <v>8</v>
      </c>
      <c r="H3" s="50" t="s">
        <v>9</v>
      </c>
      <c r="I3" s="50" t="s">
        <v>10</v>
      </c>
      <c r="J3" s="50" t="s">
        <v>11</v>
      </c>
      <c r="K3" s="67" t="s">
        <v>657</v>
      </c>
      <c r="L3" s="67" t="s">
        <v>658</v>
      </c>
    </row>
    <row r="4" spans="1:12" ht="16.5" customHeight="1" x14ac:dyDescent="0.2">
      <c r="A4" s="51">
        <f>IF(B4&lt;&gt;"",ROW()-3,"")</f>
        <v>1</v>
      </c>
      <c r="B4" s="52" t="s">
        <v>12</v>
      </c>
      <c r="C4" s="53" t="s">
        <v>731</v>
      </c>
      <c r="D4" s="54" t="s">
        <v>13</v>
      </c>
      <c r="E4" s="54" t="s">
        <v>14</v>
      </c>
      <c r="F4" s="55">
        <v>255.7</v>
      </c>
      <c r="G4" s="56">
        <v>345</v>
      </c>
      <c r="H4" s="57" t="s">
        <v>15</v>
      </c>
      <c r="I4" s="57" t="s">
        <v>16</v>
      </c>
      <c r="J4" s="58">
        <v>202385.61</v>
      </c>
      <c r="K4" s="68">
        <f ca="1">IFERROR((TODAY()-DATEVALUE(D4))/365.25,"")</f>
        <v>3.5646817248459959</v>
      </c>
      <c r="L4" s="69">
        <f ca="1">IFERROR(IF(K4&gt;=0.25,(G4/F4)^(1/K4)-1,"&lt;3mo"),"")</f>
        <v>8.7661318549127287E-2</v>
      </c>
    </row>
    <row r="5" spans="1:12" ht="16.5" customHeight="1" x14ac:dyDescent="0.2">
      <c r="A5" s="51">
        <f t="shared" ref="A5:A68" si="0">IF(B5&lt;&gt;"",ROW()-3,"")</f>
        <v>2</v>
      </c>
      <c r="B5" s="52" t="s">
        <v>17</v>
      </c>
      <c r="C5" s="53" t="s">
        <v>18</v>
      </c>
      <c r="D5" s="54" t="s">
        <v>19</v>
      </c>
      <c r="E5" s="54" t="s">
        <v>14</v>
      </c>
      <c r="F5" s="55">
        <v>214.2</v>
      </c>
      <c r="G5" s="56">
        <v>512</v>
      </c>
      <c r="H5" s="57" t="s">
        <v>20</v>
      </c>
      <c r="I5" s="57" t="s">
        <v>21</v>
      </c>
      <c r="J5" s="58">
        <v>239028.94</v>
      </c>
      <c r="K5" s="68">
        <f t="shared" ref="K5:K68" ca="1" si="1">IFERROR((TODAY()-DATEVALUE(D5))/365.25,"")</f>
        <v>3.5619438740588638</v>
      </c>
      <c r="L5" s="69">
        <f t="shared" ref="L5:L68" ca="1" si="2">IFERROR(IF(K5&gt;=0.25,(G5/F5)^(1/K5)-1,"&lt;3mo"),"")</f>
        <v>0.27716880909852359</v>
      </c>
    </row>
    <row r="6" spans="1:12" ht="16.5" customHeight="1" x14ac:dyDescent="0.2">
      <c r="A6" s="51">
        <f t="shared" si="0"/>
        <v>3</v>
      </c>
      <c r="B6" s="52" t="s">
        <v>22</v>
      </c>
      <c r="C6" s="53" t="s">
        <v>23</v>
      </c>
      <c r="D6" s="54" t="s">
        <v>24</v>
      </c>
      <c r="E6" s="54" t="s">
        <v>25</v>
      </c>
      <c r="F6" s="55">
        <v>321</v>
      </c>
      <c r="G6" s="56">
        <v>577.9</v>
      </c>
      <c r="H6" s="57" t="s">
        <v>26</v>
      </c>
      <c r="I6" s="57" t="s">
        <v>27</v>
      </c>
      <c r="J6" s="58">
        <v>212429.91</v>
      </c>
      <c r="K6" s="68">
        <f t="shared" ca="1" si="1"/>
        <v>3.482546201232033</v>
      </c>
      <c r="L6" s="69">
        <f t="shared" ca="1" si="2"/>
        <v>0.18391934686258815</v>
      </c>
    </row>
    <row r="7" spans="1:12" ht="16.5" customHeight="1" x14ac:dyDescent="0.2">
      <c r="A7" s="51">
        <f t="shared" si="0"/>
        <v>4</v>
      </c>
      <c r="B7" s="52" t="s">
        <v>28</v>
      </c>
      <c r="C7" s="53" t="s">
        <v>29</v>
      </c>
      <c r="D7" s="54" t="s">
        <v>30</v>
      </c>
      <c r="E7" s="54" t="s">
        <v>31</v>
      </c>
      <c r="F7" s="55">
        <v>237.6</v>
      </c>
      <c r="G7" s="56">
        <v>384</v>
      </c>
      <c r="H7" s="57" t="s">
        <v>32</v>
      </c>
      <c r="I7" s="57" t="s">
        <v>33</v>
      </c>
      <c r="J7" s="58">
        <v>161616.16</v>
      </c>
      <c r="K7" s="68">
        <f t="shared" ca="1" si="1"/>
        <v>3.4031485284052021</v>
      </c>
      <c r="L7" s="69">
        <f t="shared" ca="1" si="2"/>
        <v>0.15149570943023893</v>
      </c>
    </row>
    <row r="8" spans="1:12" ht="16.5" customHeight="1" x14ac:dyDescent="0.2">
      <c r="A8" s="51">
        <f t="shared" si="0"/>
        <v>5</v>
      </c>
      <c r="B8" s="52" t="s">
        <v>34</v>
      </c>
      <c r="C8" s="53" t="s">
        <v>35</v>
      </c>
      <c r="D8" s="54" t="s">
        <v>30</v>
      </c>
      <c r="E8" s="54" t="s">
        <v>31</v>
      </c>
      <c r="F8" s="55">
        <v>270</v>
      </c>
      <c r="G8" s="56">
        <v>307.89999999999998</v>
      </c>
      <c r="H8" s="57" t="s">
        <v>36</v>
      </c>
      <c r="I8" s="57" t="s">
        <v>37</v>
      </c>
      <c r="J8" s="58">
        <v>114037.04</v>
      </c>
      <c r="K8" s="68">
        <f t="shared" ca="1" si="1"/>
        <v>3.4031485284052021</v>
      </c>
      <c r="L8" s="69">
        <f t="shared" ca="1" si="2"/>
        <v>3.9352081807846773E-2</v>
      </c>
    </row>
    <row r="9" spans="1:12" ht="16.5" customHeight="1" x14ac:dyDescent="0.2">
      <c r="A9" s="51">
        <f t="shared" si="0"/>
        <v>6</v>
      </c>
      <c r="B9" s="52" t="s">
        <v>38</v>
      </c>
      <c r="C9" s="53" t="s">
        <v>39</v>
      </c>
      <c r="D9" s="54" t="s">
        <v>40</v>
      </c>
      <c r="E9" s="54" t="s">
        <v>31</v>
      </c>
      <c r="F9" s="55">
        <v>996.6</v>
      </c>
      <c r="G9" s="56">
        <v>1490</v>
      </c>
      <c r="H9" s="57" t="s">
        <v>41</v>
      </c>
      <c r="I9" s="57" t="s">
        <v>42</v>
      </c>
      <c r="J9" s="58">
        <v>149508.32999999999</v>
      </c>
      <c r="K9" s="68">
        <f t="shared" ca="1" si="1"/>
        <v>3.3867214236824092</v>
      </c>
      <c r="L9" s="69">
        <f t="shared" ca="1" si="2"/>
        <v>0.12609126840761209</v>
      </c>
    </row>
    <row r="10" spans="1:12" ht="16.5" customHeight="1" x14ac:dyDescent="0.2">
      <c r="A10" s="51">
        <f t="shared" si="0"/>
        <v>7</v>
      </c>
      <c r="B10" s="52" t="s">
        <v>43</v>
      </c>
      <c r="C10" s="53" t="s">
        <v>44</v>
      </c>
      <c r="D10" s="54" t="s">
        <v>45</v>
      </c>
      <c r="E10" s="54" t="s">
        <v>46</v>
      </c>
      <c r="F10" s="55">
        <v>213.7</v>
      </c>
      <c r="G10" s="56">
        <v>520</v>
      </c>
      <c r="H10" s="57" t="s">
        <v>47</v>
      </c>
      <c r="I10" s="57" t="s">
        <v>48</v>
      </c>
      <c r="J10" s="58">
        <v>243331.77</v>
      </c>
      <c r="K10" s="68">
        <f t="shared" ca="1" si="1"/>
        <v>3.3456536618754278</v>
      </c>
      <c r="L10" s="69">
        <f t="shared" ca="1" si="2"/>
        <v>0.30446669298757367</v>
      </c>
    </row>
    <row r="11" spans="1:12" ht="16.5" customHeight="1" x14ac:dyDescent="0.2">
      <c r="A11" s="51">
        <f t="shared" si="0"/>
        <v>8</v>
      </c>
      <c r="B11" s="52" t="s">
        <v>49</v>
      </c>
      <c r="C11" s="53" t="s">
        <v>50</v>
      </c>
      <c r="D11" s="54" t="s">
        <v>51</v>
      </c>
      <c r="E11" s="54" t="s">
        <v>46</v>
      </c>
      <c r="F11" s="55">
        <v>408.7</v>
      </c>
      <c r="G11" s="56">
        <v>431.3</v>
      </c>
      <c r="H11" s="57" t="s">
        <v>52</v>
      </c>
      <c r="I11" s="57" t="s">
        <v>53</v>
      </c>
      <c r="J11" s="58">
        <v>131313.23000000001</v>
      </c>
      <c r="K11" s="68">
        <f t="shared" ca="1" si="1"/>
        <v>3.2881587953456535</v>
      </c>
      <c r="L11" s="69">
        <f t="shared" ca="1" si="2"/>
        <v>1.6503286191682287E-2</v>
      </c>
    </row>
    <row r="12" spans="1:12" ht="16.5" customHeight="1" x14ac:dyDescent="0.2">
      <c r="A12" s="51">
        <f t="shared" si="0"/>
        <v>9</v>
      </c>
      <c r="B12" s="52" t="s">
        <v>54</v>
      </c>
      <c r="C12" s="53" t="s">
        <v>55</v>
      </c>
      <c r="D12" s="54" t="s">
        <v>56</v>
      </c>
      <c r="E12" s="54" t="s">
        <v>57</v>
      </c>
      <c r="F12" s="55">
        <v>328.9</v>
      </c>
      <c r="G12" s="56">
        <v>497.6</v>
      </c>
      <c r="H12" s="57" t="s">
        <v>58</v>
      </c>
      <c r="I12" s="57" t="s">
        <v>59</v>
      </c>
      <c r="J12" s="58">
        <v>167570.79999999999</v>
      </c>
      <c r="K12" s="68">
        <f t="shared" ca="1" si="1"/>
        <v>3.1813826146475015</v>
      </c>
      <c r="L12" s="69">
        <f t="shared" ca="1" si="2"/>
        <v>0.13899415117415881</v>
      </c>
    </row>
    <row r="13" spans="1:12" ht="16.5" customHeight="1" x14ac:dyDescent="0.2">
      <c r="A13" s="51">
        <f t="shared" si="0"/>
        <v>10</v>
      </c>
      <c r="B13" s="52" t="s">
        <v>60</v>
      </c>
      <c r="C13" s="53" t="s">
        <v>61</v>
      </c>
      <c r="D13" s="54" t="s">
        <v>62</v>
      </c>
      <c r="E13" s="54" t="s">
        <v>57</v>
      </c>
      <c r="F13" s="55">
        <v>291.5</v>
      </c>
      <c r="G13" s="56">
        <v>700</v>
      </c>
      <c r="H13" s="57" t="s">
        <v>63</v>
      </c>
      <c r="I13" s="57" t="s">
        <v>64</v>
      </c>
      <c r="J13" s="58">
        <v>240137.22</v>
      </c>
      <c r="K13" s="68">
        <f t="shared" ca="1" si="1"/>
        <v>3.1759069130732374</v>
      </c>
      <c r="L13" s="69">
        <f t="shared" ca="1" si="2"/>
        <v>0.31763626448274529</v>
      </c>
    </row>
    <row r="14" spans="1:12" ht="16.5" customHeight="1" x14ac:dyDescent="0.2">
      <c r="A14" s="51">
        <f t="shared" si="0"/>
        <v>11</v>
      </c>
      <c r="B14" s="52" t="s">
        <v>71</v>
      </c>
      <c r="C14" s="53" t="s">
        <v>730</v>
      </c>
      <c r="D14" s="54" t="s">
        <v>72</v>
      </c>
      <c r="E14" s="54" t="s">
        <v>68</v>
      </c>
      <c r="F14" s="55">
        <v>292</v>
      </c>
      <c r="G14" s="56">
        <v>316</v>
      </c>
      <c r="H14" s="57" t="s">
        <v>73</v>
      </c>
      <c r="I14" s="57" t="s">
        <v>74</v>
      </c>
      <c r="J14" s="58">
        <v>108219.18</v>
      </c>
      <c r="K14" s="68">
        <f t="shared" ca="1" si="1"/>
        <v>3.1348391512662559</v>
      </c>
      <c r="L14" s="69">
        <f t="shared" ca="1" si="2"/>
        <v>2.551708471879377E-2</v>
      </c>
    </row>
    <row r="15" spans="1:12" ht="16.5" customHeight="1" x14ac:dyDescent="0.2">
      <c r="A15" s="51">
        <f t="shared" si="0"/>
        <v>12</v>
      </c>
      <c r="B15" s="52" t="s">
        <v>75</v>
      </c>
      <c r="C15" s="53" t="s">
        <v>76</v>
      </c>
      <c r="D15" s="54" t="s">
        <v>77</v>
      </c>
      <c r="E15" s="54" t="s">
        <v>68</v>
      </c>
      <c r="F15" s="55">
        <v>328.6</v>
      </c>
      <c r="G15" s="56">
        <v>524</v>
      </c>
      <c r="H15" s="57" t="s">
        <v>78</v>
      </c>
      <c r="I15" s="57" t="s">
        <v>79</v>
      </c>
      <c r="J15" s="58">
        <v>159464.39000000001</v>
      </c>
      <c r="K15" s="68">
        <f t="shared" ca="1" si="1"/>
        <v>3.1321013004791238</v>
      </c>
      <c r="L15" s="69">
        <f t="shared" ca="1" si="2"/>
        <v>0.160660903005311</v>
      </c>
    </row>
    <row r="16" spans="1:12" ht="16.5" customHeight="1" x14ac:dyDescent="0.2">
      <c r="A16" s="51">
        <f t="shared" si="0"/>
        <v>13</v>
      </c>
      <c r="B16" s="52" t="s">
        <v>80</v>
      </c>
      <c r="C16" s="53" t="s">
        <v>81</v>
      </c>
      <c r="D16" s="54" t="s">
        <v>77</v>
      </c>
      <c r="E16" s="54" t="s">
        <v>68</v>
      </c>
      <c r="F16" s="55">
        <v>139.69999999999999</v>
      </c>
      <c r="G16" s="56">
        <v>829.9</v>
      </c>
      <c r="H16" s="57" t="s">
        <v>82</v>
      </c>
      <c r="I16" s="57" t="s">
        <v>83</v>
      </c>
      <c r="J16" s="58">
        <v>623950.04</v>
      </c>
      <c r="K16" s="68">
        <f t="shared" ca="1" si="1"/>
        <v>3.1321013004791238</v>
      </c>
      <c r="L16" s="69">
        <f t="shared" ca="1" si="2"/>
        <v>0.76629794059252165</v>
      </c>
    </row>
    <row r="17" spans="1:12" ht="16.5" customHeight="1" x14ac:dyDescent="0.2">
      <c r="A17" s="51">
        <f t="shared" si="0"/>
        <v>14</v>
      </c>
      <c r="B17" s="52" t="s">
        <v>84</v>
      </c>
      <c r="C17" s="53" t="s">
        <v>85</v>
      </c>
      <c r="D17" s="54" t="s">
        <v>86</v>
      </c>
      <c r="E17" s="54" t="s">
        <v>68</v>
      </c>
      <c r="F17" s="55">
        <v>430.1</v>
      </c>
      <c r="G17" s="56">
        <v>572.1</v>
      </c>
      <c r="H17" s="57" t="s">
        <v>87</v>
      </c>
      <c r="I17" s="57" t="s">
        <v>88</v>
      </c>
      <c r="J17" s="58">
        <v>172377.38</v>
      </c>
      <c r="K17" s="68">
        <f t="shared" ca="1" si="1"/>
        <v>3.1211498973305956</v>
      </c>
      <c r="L17" s="69">
        <f t="shared" ca="1" si="2"/>
        <v>9.5715261138924701E-2</v>
      </c>
    </row>
    <row r="18" spans="1:12" ht="16.5" customHeight="1" x14ac:dyDescent="0.2">
      <c r="A18" s="51">
        <f t="shared" si="0"/>
        <v>15</v>
      </c>
      <c r="B18" s="52" t="s">
        <v>89</v>
      </c>
      <c r="C18" s="53" t="s">
        <v>90</v>
      </c>
      <c r="D18" s="54" t="s">
        <v>91</v>
      </c>
      <c r="E18" s="54" t="s">
        <v>68</v>
      </c>
      <c r="F18" s="55">
        <v>573.9</v>
      </c>
      <c r="G18" s="56">
        <v>705.9</v>
      </c>
      <c r="H18" s="57" t="s">
        <v>92</v>
      </c>
      <c r="I18" s="57" t="s">
        <v>93</v>
      </c>
      <c r="J18" s="58">
        <v>134500.78</v>
      </c>
      <c r="K18" s="68">
        <f t="shared" ca="1" si="1"/>
        <v>3.0992470910335386</v>
      </c>
      <c r="L18" s="69">
        <f t="shared" ca="1" si="2"/>
        <v>6.9077747242220378E-2</v>
      </c>
    </row>
    <row r="19" spans="1:12" ht="16.5" customHeight="1" x14ac:dyDescent="0.2">
      <c r="A19" s="51">
        <f t="shared" si="0"/>
        <v>16</v>
      </c>
      <c r="B19" s="52" t="s">
        <v>94</v>
      </c>
      <c r="C19" s="53" t="s">
        <v>95</v>
      </c>
      <c r="D19" s="54" t="s">
        <v>96</v>
      </c>
      <c r="E19" s="54" t="s">
        <v>68</v>
      </c>
      <c r="F19" s="55">
        <v>324.5</v>
      </c>
      <c r="G19" s="56">
        <v>433.7</v>
      </c>
      <c r="H19" s="57" t="s">
        <v>97</v>
      </c>
      <c r="I19" s="57" t="s">
        <v>98</v>
      </c>
      <c r="J19" s="58">
        <v>133651.76999999999</v>
      </c>
      <c r="K19" s="68">
        <f t="shared" ca="1" si="1"/>
        <v>3.0828199863107462</v>
      </c>
      <c r="L19" s="69">
        <f t="shared" ca="1" si="2"/>
        <v>9.8660396301428754E-2</v>
      </c>
    </row>
    <row r="20" spans="1:12" ht="16.5" customHeight="1" x14ac:dyDescent="0.2">
      <c r="A20" s="51">
        <f t="shared" si="0"/>
        <v>17</v>
      </c>
      <c r="B20" s="52" t="s">
        <v>99</v>
      </c>
      <c r="C20" s="53" t="s">
        <v>100</v>
      </c>
      <c r="D20" s="54" t="s">
        <v>101</v>
      </c>
      <c r="E20" s="54" t="s">
        <v>68</v>
      </c>
      <c r="F20" s="55">
        <v>155.1</v>
      </c>
      <c r="G20" s="56">
        <v>345</v>
      </c>
      <c r="H20" s="57" t="s">
        <v>102</v>
      </c>
      <c r="I20" s="57" t="s">
        <v>103</v>
      </c>
      <c r="J20" s="58">
        <v>222437.14</v>
      </c>
      <c r="K20" s="68">
        <f t="shared" ca="1" si="1"/>
        <v>3.07460643394935</v>
      </c>
      <c r="L20" s="69">
        <f t="shared" ca="1" si="2"/>
        <v>0.29696242969506992</v>
      </c>
    </row>
    <row r="21" spans="1:12" ht="16.5" customHeight="1" x14ac:dyDescent="0.2">
      <c r="A21" s="51">
        <f t="shared" si="0"/>
        <v>18</v>
      </c>
      <c r="B21" s="52" t="s">
        <v>104</v>
      </c>
      <c r="C21" s="53" t="s">
        <v>105</v>
      </c>
      <c r="D21" s="54" t="s">
        <v>101</v>
      </c>
      <c r="E21" s="54" t="s">
        <v>68</v>
      </c>
      <c r="F21" s="55">
        <v>340</v>
      </c>
      <c r="G21" s="56">
        <v>440</v>
      </c>
      <c r="H21" s="57" t="s">
        <v>106</v>
      </c>
      <c r="I21" s="57" t="s">
        <v>107</v>
      </c>
      <c r="J21" s="58">
        <v>135632.35</v>
      </c>
      <c r="K21" s="68">
        <f t="shared" ca="1" si="1"/>
        <v>3.07460643394935</v>
      </c>
      <c r="L21" s="69">
        <f t="shared" ca="1" si="2"/>
        <v>8.747402393687298E-2</v>
      </c>
    </row>
    <row r="22" spans="1:12" ht="16.5" customHeight="1" x14ac:dyDescent="0.2">
      <c r="A22" s="51">
        <f t="shared" si="0"/>
        <v>19</v>
      </c>
      <c r="B22" s="52" t="s">
        <v>108</v>
      </c>
      <c r="C22" s="53" t="s">
        <v>109</v>
      </c>
      <c r="D22" s="54" t="s">
        <v>110</v>
      </c>
      <c r="E22" s="54" t="s">
        <v>111</v>
      </c>
      <c r="F22" s="55">
        <v>436.9</v>
      </c>
      <c r="G22" s="56">
        <v>6050</v>
      </c>
      <c r="H22" s="57" t="s">
        <v>112</v>
      </c>
      <c r="I22" s="57" t="s">
        <v>113</v>
      </c>
      <c r="J22" s="58">
        <v>1989833.06</v>
      </c>
      <c r="K22" s="68">
        <f t="shared" ca="1" si="1"/>
        <v>3.0225872689938398</v>
      </c>
      <c r="L22" s="69">
        <f t="shared" ca="1" si="2"/>
        <v>1.3856936898232748</v>
      </c>
    </row>
    <row r="23" spans="1:12" ht="16.5" customHeight="1" x14ac:dyDescent="0.2">
      <c r="A23" s="51">
        <f t="shared" si="0"/>
        <v>20</v>
      </c>
      <c r="B23" s="52" t="s">
        <v>114</v>
      </c>
      <c r="C23" s="53" t="s">
        <v>115</v>
      </c>
      <c r="D23" s="54" t="s">
        <v>116</v>
      </c>
      <c r="E23" s="54" t="s">
        <v>111</v>
      </c>
      <c r="F23" s="55">
        <v>255</v>
      </c>
      <c r="G23" s="56">
        <v>488.1</v>
      </c>
      <c r="H23" s="57" t="s">
        <v>117</v>
      </c>
      <c r="I23" s="57" t="s">
        <v>118</v>
      </c>
      <c r="J23" s="58">
        <v>191411.76</v>
      </c>
      <c r="K23" s="68">
        <f t="shared" ca="1" si="1"/>
        <v>3.0088980150581794</v>
      </c>
      <c r="L23" s="69">
        <f t="shared" ca="1" si="2"/>
        <v>0.24082802379829871</v>
      </c>
    </row>
    <row r="24" spans="1:12" ht="16.5" customHeight="1" x14ac:dyDescent="0.2">
      <c r="A24" s="51">
        <f t="shared" si="0"/>
        <v>21</v>
      </c>
      <c r="B24" s="52" t="s">
        <v>119</v>
      </c>
      <c r="C24" s="53" t="s">
        <v>120</v>
      </c>
      <c r="D24" s="54" t="s">
        <v>121</v>
      </c>
      <c r="E24" s="54" t="s">
        <v>111</v>
      </c>
      <c r="F24" s="55">
        <v>560.5</v>
      </c>
      <c r="G24" s="56">
        <v>584.1</v>
      </c>
      <c r="H24" s="57" t="s">
        <v>122</v>
      </c>
      <c r="I24" s="57" t="s">
        <v>123</v>
      </c>
      <c r="J24" s="58">
        <v>110454.95</v>
      </c>
      <c r="K24" s="68">
        <f t="shared" ca="1" si="1"/>
        <v>2.9869952087611225</v>
      </c>
      <c r="L24" s="69">
        <f t="shared" ca="1" si="2"/>
        <v>1.3903271305127696E-2</v>
      </c>
    </row>
    <row r="25" spans="1:12" ht="16.5" customHeight="1" x14ac:dyDescent="0.2">
      <c r="A25" s="51">
        <f t="shared" si="0"/>
        <v>22</v>
      </c>
      <c r="B25" s="52" t="s">
        <v>124</v>
      </c>
      <c r="C25" s="53" t="s">
        <v>125</v>
      </c>
      <c r="D25" s="54" t="s">
        <v>126</v>
      </c>
      <c r="E25" s="54" t="s">
        <v>111</v>
      </c>
      <c r="F25" s="55">
        <v>301.5</v>
      </c>
      <c r="G25" s="56">
        <v>516.5</v>
      </c>
      <c r="H25" s="57" t="s">
        <v>127</v>
      </c>
      <c r="I25" s="57" t="s">
        <v>128</v>
      </c>
      <c r="J25" s="58">
        <v>171310.12</v>
      </c>
      <c r="K25" s="68">
        <f t="shared" ca="1" si="1"/>
        <v>2.9842573579739904</v>
      </c>
      <c r="L25" s="69">
        <f t="shared" ca="1" si="2"/>
        <v>0.19767437079366945</v>
      </c>
    </row>
    <row r="26" spans="1:12" ht="16.5" customHeight="1" x14ac:dyDescent="0.2">
      <c r="A26" s="51">
        <f t="shared" si="0"/>
        <v>23</v>
      </c>
      <c r="B26" s="60" t="s">
        <v>129</v>
      </c>
      <c r="C26" s="61" t="s">
        <v>130</v>
      </c>
      <c r="D26" s="59" t="s">
        <v>131</v>
      </c>
      <c r="E26" s="59" t="s">
        <v>111</v>
      </c>
      <c r="F26" s="62">
        <v>404.8</v>
      </c>
      <c r="G26" s="63">
        <v>393</v>
      </c>
      <c r="H26" s="64" t="s">
        <v>132</v>
      </c>
      <c r="I26" s="64" t="s">
        <v>133</v>
      </c>
      <c r="J26" s="65">
        <v>121718.84</v>
      </c>
      <c r="K26" s="68">
        <f t="shared" ca="1" si="1"/>
        <v>2.97056810403833</v>
      </c>
      <c r="L26" s="69">
        <f t="shared" ca="1" si="2"/>
        <v>-9.9094461734955397E-3</v>
      </c>
    </row>
    <row r="27" spans="1:12" ht="16.5" customHeight="1" x14ac:dyDescent="0.2">
      <c r="A27" s="51">
        <f t="shared" si="0"/>
        <v>24</v>
      </c>
      <c r="B27" s="52" t="s">
        <v>134</v>
      </c>
      <c r="C27" s="53" t="s">
        <v>135</v>
      </c>
      <c r="D27" s="54" t="s">
        <v>136</v>
      </c>
      <c r="E27" s="54" t="s">
        <v>137</v>
      </c>
      <c r="F27" s="55">
        <v>407.9</v>
      </c>
      <c r="G27" s="56">
        <v>427</v>
      </c>
      <c r="H27" s="57" t="s">
        <v>73</v>
      </c>
      <c r="I27" s="57" t="s">
        <v>138</v>
      </c>
      <c r="J27" s="58">
        <v>108295.37</v>
      </c>
      <c r="K27" s="68">
        <f t="shared" ca="1" si="1"/>
        <v>2.9322381930184807</v>
      </c>
      <c r="L27" s="69">
        <f t="shared" ca="1" si="2"/>
        <v>1.5728914499345326E-2</v>
      </c>
    </row>
    <row r="28" spans="1:12" ht="16.5" customHeight="1" x14ac:dyDescent="0.2">
      <c r="A28" s="51">
        <f t="shared" si="0"/>
        <v>25</v>
      </c>
      <c r="B28" s="52" t="s">
        <v>139</v>
      </c>
      <c r="C28" s="53" t="s">
        <v>140</v>
      </c>
      <c r="D28" s="54" t="s">
        <v>141</v>
      </c>
      <c r="E28" s="54" t="s">
        <v>137</v>
      </c>
      <c r="F28" s="55">
        <v>287.10000000000002</v>
      </c>
      <c r="G28" s="56">
        <v>332</v>
      </c>
      <c r="H28" s="57" t="s">
        <v>142</v>
      </c>
      <c r="I28" s="57" t="s">
        <v>143</v>
      </c>
      <c r="J28" s="58">
        <v>115639.15</v>
      </c>
      <c r="K28" s="68">
        <f t="shared" ca="1" si="1"/>
        <v>2.9212867898699519</v>
      </c>
      <c r="L28" s="69">
        <f t="shared" ca="1" si="2"/>
        <v>5.0997649187330074E-2</v>
      </c>
    </row>
    <row r="29" spans="1:12" ht="16.5" customHeight="1" x14ac:dyDescent="0.2">
      <c r="A29" s="51">
        <f t="shared" si="0"/>
        <v>26</v>
      </c>
      <c r="B29" s="52" t="s">
        <v>144</v>
      </c>
      <c r="C29" s="53" t="s">
        <v>145</v>
      </c>
      <c r="D29" s="54" t="s">
        <v>141</v>
      </c>
      <c r="E29" s="54" t="s">
        <v>137</v>
      </c>
      <c r="F29" s="55">
        <v>223</v>
      </c>
      <c r="G29" s="56">
        <v>360</v>
      </c>
      <c r="H29" s="57" t="s">
        <v>146</v>
      </c>
      <c r="I29" s="57" t="s">
        <v>147</v>
      </c>
      <c r="J29" s="58">
        <v>161434.98000000001</v>
      </c>
      <c r="K29" s="68">
        <f t="shared" ca="1" si="1"/>
        <v>2.9212867898699519</v>
      </c>
      <c r="L29" s="69">
        <f t="shared" ca="1" si="2"/>
        <v>0.17815028023488422</v>
      </c>
    </row>
    <row r="30" spans="1:12" ht="16.5" customHeight="1" x14ac:dyDescent="0.2">
      <c r="A30" s="51">
        <f t="shared" si="0"/>
        <v>27</v>
      </c>
      <c r="B30" s="52" t="s">
        <v>148</v>
      </c>
      <c r="C30" s="53" t="s">
        <v>149</v>
      </c>
      <c r="D30" s="54" t="s">
        <v>150</v>
      </c>
      <c r="E30" s="54" t="s">
        <v>137</v>
      </c>
      <c r="F30" s="55">
        <v>255.2</v>
      </c>
      <c r="G30" s="56">
        <v>301</v>
      </c>
      <c r="H30" s="57" t="s">
        <v>151</v>
      </c>
      <c r="I30" s="57" t="s">
        <v>152</v>
      </c>
      <c r="J30" s="58">
        <v>117946.71</v>
      </c>
      <c r="K30" s="68">
        <f t="shared" ca="1" si="1"/>
        <v>2.8939082819986313</v>
      </c>
      <c r="L30" s="69">
        <f t="shared" ca="1" si="2"/>
        <v>5.8696030089526063E-2</v>
      </c>
    </row>
    <row r="31" spans="1:12" ht="16.5" customHeight="1" x14ac:dyDescent="0.2">
      <c r="A31" s="51">
        <f t="shared" si="0"/>
        <v>28</v>
      </c>
      <c r="B31" s="52" t="s">
        <v>153</v>
      </c>
      <c r="C31" s="53" t="s">
        <v>154</v>
      </c>
      <c r="D31" s="54" t="s">
        <v>155</v>
      </c>
      <c r="E31" s="54" t="s">
        <v>137</v>
      </c>
      <c r="F31" s="55">
        <v>320.89999999999998</v>
      </c>
      <c r="G31" s="56">
        <v>394.2</v>
      </c>
      <c r="H31" s="57" t="s">
        <v>156</v>
      </c>
      <c r="I31" s="57" t="s">
        <v>157</v>
      </c>
      <c r="J31" s="58">
        <v>122842.01</v>
      </c>
      <c r="K31" s="68">
        <f t="shared" ca="1" si="1"/>
        <v>2.8884325804243667</v>
      </c>
      <c r="L31" s="69">
        <f t="shared" ca="1" si="2"/>
        <v>7.3822896581246411E-2</v>
      </c>
    </row>
    <row r="32" spans="1:12" ht="16.5" customHeight="1" x14ac:dyDescent="0.2">
      <c r="A32" s="51">
        <f t="shared" si="0"/>
        <v>29</v>
      </c>
      <c r="B32" s="60" t="s">
        <v>158</v>
      </c>
      <c r="C32" s="61" t="s">
        <v>159</v>
      </c>
      <c r="D32" s="59" t="s">
        <v>160</v>
      </c>
      <c r="E32" s="59" t="s">
        <v>161</v>
      </c>
      <c r="F32" s="62">
        <v>243</v>
      </c>
      <c r="G32" s="63">
        <v>236.3</v>
      </c>
      <c r="H32" s="64" t="s">
        <v>162</v>
      </c>
      <c r="I32" s="64" t="s">
        <v>163</v>
      </c>
      <c r="J32" s="65">
        <v>97242.8</v>
      </c>
      <c r="K32" s="68">
        <f t="shared" ca="1" si="1"/>
        <v>2.8473648186173852</v>
      </c>
      <c r="L32" s="69">
        <f t="shared" ca="1" si="2"/>
        <v>-9.7712932161980737E-3</v>
      </c>
    </row>
    <row r="33" spans="1:12" ht="16.5" customHeight="1" x14ac:dyDescent="0.2">
      <c r="A33" s="51">
        <f t="shared" si="0"/>
        <v>30</v>
      </c>
      <c r="B33" s="52" t="s">
        <v>164</v>
      </c>
      <c r="C33" s="53" t="s">
        <v>165</v>
      </c>
      <c r="D33" s="54" t="s">
        <v>160</v>
      </c>
      <c r="E33" s="54" t="s">
        <v>161</v>
      </c>
      <c r="F33" s="55">
        <v>274.2</v>
      </c>
      <c r="G33" s="56">
        <v>595</v>
      </c>
      <c r="H33" s="57" t="s">
        <v>166</v>
      </c>
      <c r="I33" s="57" t="s">
        <v>167</v>
      </c>
      <c r="J33" s="58">
        <v>216994.89</v>
      </c>
      <c r="K33" s="68">
        <f t="shared" ca="1" si="1"/>
        <v>2.8473648186173852</v>
      </c>
      <c r="L33" s="69">
        <f t="shared" ca="1" si="2"/>
        <v>0.31268860948853394</v>
      </c>
    </row>
    <row r="34" spans="1:12" ht="16.5" customHeight="1" x14ac:dyDescent="0.2">
      <c r="A34" s="51">
        <f t="shared" si="0"/>
        <v>31</v>
      </c>
      <c r="B34" s="60" t="s">
        <v>168</v>
      </c>
      <c r="C34" s="61" t="s">
        <v>169</v>
      </c>
      <c r="D34" s="59" t="s">
        <v>170</v>
      </c>
      <c r="E34" s="59" t="s">
        <v>161</v>
      </c>
      <c r="F34" s="62">
        <v>538.4</v>
      </c>
      <c r="G34" s="63">
        <v>453</v>
      </c>
      <c r="H34" s="64" t="s">
        <v>171</v>
      </c>
      <c r="I34" s="64" t="s">
        <v>172</v>
      </c>
      <c r="J34" s="65">
        <v>102257.05</v>
      </c>
      <c r="K34" s="68">
        <f t="shared" ca="1" si="1"/>
        <v>2.8145106091718</v>
      </c>
      <c r="L34" s="69">
        <f t="shared" ca="1" si="2"/>
        <v>-5.9519165524821727E-2</v>
      </c>
    </row>
    <row r="35" spans="1:12" ht="16.5" customHeight="1" x14ac:dyDescent="0.2">
      <c r="A35" s="51">
        <f t="shared" si="0"/>
        <v>32</v>
      </c>
      <c r="B35" s="60" t="s">
        <v>173</v>
      </c>
      <c r="C35" s="61" t="s">
        <v>174</v>
      </c>
      <c r="D35" s="59" t="s">
        <v>175</v>
      </c>
      <c r="E35" s="59" t="s">
        <v>161</v>
      </c>
      <c r="F35" s="62">
        <v>582.4</v>
      </c>
      <c r="G35" s="63">
        <v>437.5</v>
      </c>
      <c r="H35" s="64" t="s">
        <v>176</v>
      </c>
      <c r="I35" s="64" t="s">
        <v>177</v>
      </c>
      <c r="J35" s="65">
        <v>100903.92</v>
      </c>
      <c r="K35" s="68">
        <f t="shared" ca="1" si="1"/>
        <v>2.7597535934291582</v>
      </c>
      <c r="L35" s="69">
        <f t="shared" ca="1" si="2"/>
        <v>-9.8469780206693613E-2</v>
      </c>
    </row>
    <row r="36" spans="1:12" ht="16.5" customHeight="1" x14ac:dyDescent="0.2">
      <c r="A36" s="51">
        <f t="shared" si="0"/>
        <v>33</v>
      </c>
      <c r="B36" s="60" t="s">
        <v>178</v>
      </c>
      <c r="C36" s="61" t="s">
        <v>179</v>
      </c>
      <c r="D36" s="59" t="s">
        <v>180</v>
      </c>
      <c r="E36" s="59" t="s">
        <v>181</v>
      </c>
      <c r="F36" s="62">
        <v>509</v>
      </c>
      <c r="G36" s="63">
        <v>420</v>
      </c>
      <c r="H36" s="64" t="s">
        <v>182</v>
      </c>
      <c r="I36" s="64" t="s">
        <v>183</v>
      </c>
      <c r="J36" s="65">
        <v>104500.05</v>
      </c>
      <c r="K36" s="68">
        <f t="shared" ca="1" si="1"/>
        <v>2.7405886379192332</v>
      </c>
      <c r="L36" s="69">
        <f t="shared" ca="1" si="2"/>
        <v>-6.772596288382482E-2</v>
      </c>
    </row>
    <row r="37" spans="1:12" ht="16.5" customHeight="1" x14ac:dyDescent="0.2">
      <c r="A37" s="51">
        <f t="shared" si="0"/>
        <v>34</v>
      </c>
      <c r="B37" s="52" t="s">
        <v>184</v>
      </c>
      <c r="C37" s="53" t="s">
        <v>185</v>
      </c>
      <c r="D37" s="54" t="s">
        <v>186</v>
      </c>
      <c r="E37" s="54" t="s">
        <v>181</v>
      </c>
      <c r="F37" s="55">
        <v>526.9</v>
      </c>
      <c r="G37" s="56">
        <v>1545</v>
      </c>
      <c r="H37" s="57" t="s">
        <v>187</v>
      </c>
      <c r="I37" s="57" t="s">
        <v>188</v>
      </c>
      <c r="J37" s="58">
        <v>355010.35</v>
      </c>
      <c r="K37" s="68">
        <f t="shared" ca="1" si="1"/>
        <v>2.7186858316221767</v>
      </c>
      <c r="L37" s="69">
        <f t="shared" ca="1" si="2"/>
        <v>0.48541511577402807</v>
      </c>
    </row>
    <row r="38" spans="1:12" ht="16.5" customHeight="1" x14ac:dyDescent="0.2">
      <c r="A38" s="51">
        <f t="shared" si="0"/>
        <v>35</v>
      </c>
      <c r="B38" s="60" t="s">
        <v>189</v>
      </c>
      <c r="C38" s="61" t="s">
        <v>190</v>
      </c>
      <c r="D38" s="59" t="s">
        <v>191</v>
      </c>
      <c r="E38" s="59" t="s">
        <v>192</v>
      </c>
      <c r="F38" s="62">
        <v>495</v>
      </c>
      <c r="G38" s="63">
        <v>462</v>
      </c>
      <c r="H38" s="64" t="s">
        <v>193</v>
      </c>
      <c r="I38" s="64" t="s">
        <v>53</v>
      </c>
      <c r="J38" s="65">
        <v>124725.93</v>
      </c>
      <c r="K38" s="68">
        <f t="shared" ca="1" si="1"/>
        <v>2.64476386036961</v>
      </c>
      <c r="L38" s="69">
        <f t="shared" ca="1" si="2"/>
        <v>-2.5749274787841281E-2</v>
      </c>
    </row>
    <row r="39" spans="1:12" ht="16.5" customHeight="1" x14ac:dyDescent="0.2">
      <c r="A39" s="51">
        <f t="shared" si="0"/>
        <v>36</v>
      </c>
      <c r="B39" s="60" t="s">
        <v>194</v>
      </c>
      <c r="C39" s="61" t="s">
        <v>195</v>
      </c>
      <c r="D39" s="59" t="s">
        <v>196</v>
      </c>
      <c r="E39" s="59" t="s">
        <v>192</v>
      </c>
      <c r="F39" s="62">
        <v>470</v>
      </c>
      <c r="G39" s="63">
        <v>448.5</v>
      </c>
      <c r="H39" s="64" t="s">
        <v>197</v>
      </c>
      <c r="I39" s="64" t="s">
        <v>198</v>
      </c>
      <c r="J39" s="65">
        <v>162907.84</v>
      </c>
      <c r="K39" s="68">
        <f t="shared" ca="1" si="1"/>
        <v>2.6338124572210813</v>
      </c>
      <c r="L39" s="69">
        <f t="shared" ca="1" si="2"/>
        <v>-1.7620939249228917E-2</v>
      </c>
    </row>
    <row r="40" spans="1:12" ht="16.5" customHeight="1" x14ac:dyDescent="0.2">
      <c r="A40" s="51">
        <f t="shared" si="0"/>
        <v>37</v>
      </c>
      <c r="B40" s="52" t="s">
        <v>199</v>
      </c>
      <c r="C40" s="53" t="s">
        <v>200</v>
      </c>
      <c r="D40" s="54" t="s">
        <v>201</v>
      </c>
      <c r="E40" s="54" t="s">
        <v>192</v>
      </c>
      <c r="F40" s="55">
        <v>264</v>
      </c>
      <c r="G40" s="56">
        <v>510</v>
      </c>
      <c r="H40" s="57" t="s">
        <v>202</v>
      </c>
      <c r="I40" s="57" t="s">
        <v>203</v>
      </c>
      <c r="J40" s="58">
        <v>193181.82</v>
      </c>
      <c r="K40" s="68">
        <f t="shared" ca="1" si="1"/>
        <v>2.622861054072553</v>
      </c>
      <c r="L40" s="69">
        <f t="shared" ca="1" si="2"/>
        <v>0.28537060486902632</v>
      </c>
    </row>
    <row r="41" spans="1:12" ht="16.5" customHeight="1" x14ac:dyDescent="0.2">
      <c r="A41" s="51">
        <f t="shared" si="0"/>
        <v>38</v>
      </c>
      <c r="B41" s="52" t="s">
        <v>204</v>
      </c>
      <c r="C41" s="53" t="s">
        <v>205</v>
      </c>
      <c r="D41" s="54" t="s">
        <v>201</v>
      </c>
      <c r="E41" s="54" t="s">
        <v>192</v>
      </c>
      <c r="F41" s="55">
        <v>225</v>
      </c>
      <c r="G41" s="56">
        <v>381</v>
      </c>
      <c r="H41" s="57" t="s">
        <v>15</v>
      </c>
      <c r="I41" s="57" t="s">
        <v>206</v>
      </c>
      <c r="J41" s="58">
        <v>169333.33</v>
      </c>
      <c r="K41" s="68">
        <f t="shared" ca="1" si="1"/>
        <v>2.622861054072553</v>
      </c>
      <c r="L41" s="69">
        <f t="shared" ca="1" si="2"/>
        <v>0.22239354131202416</v>
      </c>
    </row>
    <row r="42" spans="1:12" ht="16.5" customHeight="1" x14ac:dyDescent="0.2">
      <c r="A42" s="51">
        <f t="shared" si="0"/>
        <v>39</v>
      </c>
      <c r="B42" s="60" t="s">
        <v>207</v>
      </c>
      <c r="C42" s="61" t="s">
        <v>208</v>
      </c>
      <c r="D42" s="59" t="s">
        <v>209</v>
      </c>
      <c r="E42" s="59" t="s">
        <v>192</v>
      </c>
      <c r="F42" s="62">
        <v>457.2</v>
      </c>
      <c r="G42" s="63">
        <v>456</v>
      </c>
      <c r="H42" s="64" t="s">
        <v>210</v>
      </c>
      <c r="I42" s="64" t="s">
        <v>211</v>
      </c>
      <c r="J42" s="65">
        <v>139199.67999999999</v>
      </c>
      <c r="K42" s="68">
        <f t="shared" ca="1" si="1"/>
        <v>2.6064339493497606</v>
      </c>
      <c r="L42" s="69">
        <f t="shared" ca="1" si="2"/>
        <v>-1.0078129378591205E-3</v>
      </c>
    </row>
    <row r="43" spans="1:12" ht="16.5" customHeight="1" x14ac:dyDescent="0.2">
      <c r="A43" s="51">
        <f t="shared" si="0"/>
        <v>40</v>
      </c>
      <c r="B43" s="52" t="s">
        <v>212</v>
      </c>
      <c r="C43" s="53" t="s">
        <v>213</v>
      </c>
      <c r="D43" s="54" t="s">
        <v>214</v>
      </c>
      <c r="E43" s="54" t="s">
        <v>192</v>
      </c>
      <c r="F43" s="55">
        <v>313.7</v>
      </c>
      <c r="G43" s="56">
        <v>816</v>
      </c>
      <c r="H43" s="57" t="s">
        <v>215</v>
      </c>
      <c r="I43" s="57" t="s">
        <v>216</v>
      </c>
      <c r="J43" s="58">
        <v>353112.06</v>
      </c>
      <c r="K43" s="68">
        <f t="shared" ca="1" si="1"/>
        <v>2.5790554414784395</v>
      </c>
      <c r="L43" s="69">
        <f t="shared" ca="1" si="2"/>
        <v>0.44870422493270712</v>
      </c>
    </row>
    <row r="44" spans="1:12" ht="16.5" customHeight="1" x14ac:dyDescent="0.2">
      <c r="A44" s="51">
        <f t="shared" si="0"/>
        <v>41</v>
      </c>
      <c r="B44" s="52" t="s">
        <v>217</v>
      </c>
      <c r="C44" s="53" t="s">
        <v>218</v>
      </c>
      <c r="D44" s="54" t="s">
        <v>214</v>
      </c>
      <c r="E44" s="54" t="s">
        <v>192</v>
      </c>
      <c r="F44" s="55">
        <v>410.5</v>
      </c>
      <c r="G44" s="56">
        <v>808.2</v>
      </c>
      <c r="H44" s="57" t="s">
        <v>219</v>
      </c>
      <c r="I44" s="57" t="s">
        <v>220</v>
      </c>
      <c r="J44" s="58">
        <v>202241.17</v>
      </c>
      <c r="K44" s="68">
        <f t="shared" ca="1" si="1"/>
        <v>2.5790554414784395</v>
      </c>
      <c r="L44" s="69">
        <f t="shared" ca="1" si="2"/>
        <v>0.30039405348004489</v>
      </c>
    </row>
    <row r="45" spans="1:12" ht="16.5" customHeight="1" x14ac:dyDescent="0.2">
      <c r="A45" s="51">
        <f t="shared" si="0"/>
        <v>42</v>
      </c>
      <c r="B45" s="52" t="s">
        <v>221</v>
      </c>
      <c r="C45" s="53" t="s">
        <v>222</v>
      </c>
      <c r="D45" s="54" t="s">
        <v>223</v>
      </c>
      <c r="E45" s="54" t="s">
        <v>192</v>
      </c>
      <c r="F45" s="55">
        <v>330</v>
      </c>
      <c r="G45" s="56">
        <v>697</v>
      </c>
      <c r="H45" s="57" t="s">
        <v>47</v>
      </c>
      <c r="I45" s="57" t="s">
        <v>224</v>
      </c>
      <c r="J45" s="58">
        <v>243133.03</v>
      </c>
      <c r="K45" s="68">
        <f t="shared" ca="1" si="1"/>
        <v>2.5763175906913074</v>
      </c>
      <c r="L45" s="69">
        <f t="shared" ca="1" si="2"/>
        <v>0.33671835134503847</v>
      </c>
    </row>
    <row r="46" spans="1:12" ht="16.5" customHeight="1" x14ac:dyDescent="0.2">
      <c r="A46" s="51">
        <f t="shared" si="0"/>
        <v>43</v>
      </c>
      <c r="B46" s="52" t="s">
        <v>225</v>
      </c>
      <c r="C46" s="53" t="s">
        <v>226</v>
      </c>
      <c r="D46" s="54" t="s">
        <v>223</v>
      </c>
      <c r="E46" s="54" t="s">
        <v>192</v>
      </c>
      <c r="F46" s="55">
        <v>397.2</v>
      </c>
      <c r="G46" s="56">
        <v>657</v>
      </c>
      <c r="H46" s="57" t="s">
        <v>227</v>
      </c>
      <c r="I46" s="57" t="s">
        <v>228</v>
      </c>
      <c r="J46" s="58">
        <v>203031.8</v>
      </c>
      <c r="K46" s="68">
        <f t="shared" ca="1" si="1"/>
        <v>2.5763175906913074</v>
      </c>
      <c r="L46" s="69">
        <f t="shared" ca="1" si="2"/>
        <v>0.21571775433469176</v>
      </c>
    </row>
    <row r="47" spans="1:12" ht="16.5" customHeight="1" x14ac:dyDescent="0.2">
      <c r="A47" s="51">
        <f t="shared" si="0"/>
        <v>44</v>
      </c>
      <c r="B47" s="52" t="s">
        <v>229</v>
      </c>
      <c r="C47" s="53" t="s">
        <v>230</v>
      </c>
      <c r="D47" s="54" t="s">
        <v>231</v>
      </c>
      <c r="E47" s="54" t="s">
        <v>232</v>
      </c>
      <c r="F47" s="55">
        <v>315</v>
      </c>
      <c r="G47" s="56">
        <v>437.1</v>
      </c>
      <c r="H47" s="57" t="s">
        <v>210</v>
      </c>
      <c r="I47" s="57" t="s">
        <v>233</v>
      </c>
      <c r="J47" s="58">
        <v>138761.9</v>
      </c>
      <c r="K47" s="68">
        <f t="shared" ca="1" si="1"/>
        <v>2.5297741273100618</v>
      </c>
      <c r="L47" s="69">
        <f t="shared" ca="1" si="2"/>
        <v>0.13825173848926164</v>
      </c>
    </row>
    <row r="48" spans="1:12" ht="16.5" customHeight="1" x14ac:dyDescent="0.2">
      <c r="A48" s="51">
        <f t="shared" si="0"/>
        <v>45</v>
      </c>
      <c r="B48" s="52" t="s">
        <v>234</v>
      </c>
      <c r="C48" s="53" t="s">
        <v>235</v>
      </c>
      <c r="D48" s="54" t="s">
        <v>236</v>
      </c>
      <c r="E48" s="54" t="s">
        <v>232</v>
      </c>
      <c r="F48" s="55">
        <v>259.60000000000002</v>
      </c>
      <c r="G48" s="56">
        <v>490</v>
      </c>
      <c r="H48" s="57" t="s">
        <v>237</v>
      </c>
      <c r="I48" s="57" t="s">
        <v>238</v>
      </c>
      <c r="J48" s="58">
        <v>188751.93</v>
      </c>
      <c r="K48" s="68">
        <f t="shared" ca="1" si="1"/>
        <v>2.4695414099931554</v>
      </c>
      <c r="L48" s="69">
        <f t="shared" ca="1" si="2"/>
        <v>0.29335474798704597</v>
      </c>
    </row>
    <row r="49" spans="1:12" ht="16.5" customHeight="1" x14ac:dyDescent="0.2">
      <c r="A49" s="51">
        <f t="shared" si="0"/>
        <v>46</v>
      </c>
      <c r="B49" s="52" t="s">
        <v>239</v>
      </c>
      <c r="C49" s="53" t="s">
        <v>240</v>
      </c>
      <c r="D49" s="54" t="s">
        <v>241</v>
      </c>
      <c r="E49" s="54" t="s">
        <v>242</v>
      </c>
      <c r="F49" s="55">
        <v>294.8</v>
      </c>
      <c r="G49" s="56">
        <v>561</v>
      </c>
      <c r="H49" s="57" t="s">
        <v>243</v>
      </c>
      <c r="I49" s="57" t="s">
        <v>48</v>
      </c>
      <c r="J49" s="58">
        <v>190298.51</v>
      </c>
      <c r="K49" s="68">
        <f t="shared" ca="1" si="1"/>
        <v>2.4229979466119098</v>
      </c>
      <c r="L49" s="69">
        <f t="shared" ca="1" si="2"/>
        <v>0.30414625177969135</v>
      </c>
    </row>
    <row r="50" spans="1:12" ht="16.5" customHeight="1" x14ac:dyDescent="0.2">
      <c r="A50" s="51">
        <f t="shared" si="0"/>
        <v>47</v>
      </c>
      <c r="B50" s="60" t="s">
        <v>244</v>
      </c>
      <c r="C50" s="61" t="s">
        <v>245</v>
      </c>
      <c r="D50" s="59" t="s">
        <v>246</v>
      </c>
      <c r="E50" s="59" t="s">
        <v>242</v>
      </c>
      <c r="F50" s="62">
        <v>589</v>
      </c>
      <c r="G50" s="63">
        <v>469</v>
      </c>
      <c r="H50" s="64" t="s">
        <v>247</v>
      </c>
      <c r="I50" s="64" t="s">
        <v>248</v>
      </c>
      <c r="J50" s="65">
        <v>99439.75</v>
      </c>
      <c r="K50" s="68">
        <f t="shared" ca="1" si="1"/>
        <v>2.3901437371663246</v>
      </c>
      <c r="L50" s="69">
        <f t="shared" ca="1" si="2"/>
        <v>-9.0916083941199766E-2</v>
      </c>
    </row>
    <row r="51" spans="1:12" ht="16.5" customHeight="1" x14ac:dyDescent="0.2">
      <c r="A51" s="51">
        <f t="shared" si="0"/>
        <v>48</v>
      </c>
      <c r="B51" s="52" t="s">
        <v>249</v>
      </c>
      <c r="C51" s="53" t="s">
        <v>250</v>
      </c>
      <c r="D51" s="54" t="s">
        <v>251</v>
      </c>
      <c r="E51" s="54" t="s">
        <v>242</v>
      </c>
      <c r="F51" s="55">
        <v>401.8</v>
      </c>
      <c r="G51" s="56">
        <v>485</v>
      </c>
      <c r="H51" s="57" t="s">
        <v>252</v>
      </c>
      <c r="I51" s="57" t="s">
        <v>253</v>
      </c>
      <c r="J51" s="58">
        <v>120706.82</v>
      </c>
      <c r="K51" s="68">
        <f t="shared" ca="1" si="1"/>
        <v>2.3846680355920604</v>
      </c>
      <c r="L51" s="69">
        <f t="shared" ca="1" si="2"/>
        <v>8.2116132451149904E-2</v>
      </c>
    </row>
    <row r="52" spans="1:12" ht="16.5" customHeight="1" x14ac:dyDescent="0.2">
      <c r="A52" s="51">
        <f t="shared" si="0"/>
        <v>49</v>
      </c>
      <c r="B52" s="52" t="s">
        <v>254</v>
      </c>
      <c r="C52" s="53" t="s">
        <v>255</v>
      </c>
      <c r="D52" s="54" t="s">
        <v>251</v>
      </c>
      <c r="E52" s="54" t="s">
        <v>242</v>
      </c>
      <c r="F52" s="55">
        <v>330</v>
      </c>
      <c r="G52" s="56">
        <v>675</v>
      </c>
      <c r="H52" s="57" t="s">
        <v>256</v>
      </c>
      <c r="I52" s="57" t="s">
        <v>257</v>
      </c>
      <c r="J52" s="58">
        <v>204545.45</v>
      </c>
      <c r="K52" s="68">
        <f t="shared" ca="1" si="1"/>
        <v>2.3846680355920604</v>
      </c>
      <c r="L52" s="69">
        <f t="shared" ca="1" si="2"/>
        <v>0.34998313405664683</v>
      </c>
    </row>
    <row r="53" spans="1:12" ht="16.5" customHeight="1" x14ac:dyDescent="0.2">
      <c r="A53" s="51">
        <f t="shared" si="0"/>
        <v>50</v>
      </c>
      <c r="B53" s="52" t="s">
        <v>258</v>
      </c>
      <c r="C53" s="53" t="s">
        <v>259</v>
      </c>
      <c r="D53" s="54" t="s">
        <v>251</v>
      </c>
      <c r="E53" s="54" t="s">
        <v>242</v>
      </c>
      <c r="F53" s="55">
        <v>229.6</v>
      </c>
      <c r="G53" s="56">
        <v>800</v>
      </c>
      <c r="H53" s="57" t="s">
        <v>260</v>
      </c>
      <c r="I53" s="57" t="s">
        <v>261</v>
      </c>
      <c r="J53" s="58">
        <v>348432.06</v>
      </c>
      <c r="K53" s="68">
        <f t="shared" ca="1" si="1"/>
        <v>2.3846680355920604</v>
      </c>
      <c r="L53" s="69">
        <f t="shared" ca="1" si="2"/>
        <v>0.68785381753524755</v>
      </c>
    </row>
    <row r="54" spans="1:12" ht="16.5" customHeight="1" x14ac:dyDescent="0.2">
      <c r="A54" s="51">
        <f t="shared" si="0"/>
        <v>51</v>
      </c>
      <c r="B54" s="52" t="s">
        <v>262</v>
      </c>
      <c r="C54" s="53" t="s">
        <v>263</v>
      </c>
      <c r="D54" s="54" t="s">
        <v>264</v>
      </c>
      <c r="E54" s="54" t="s">
        <v>265</v>
      </c>
      <c r="F54" s="55">
        <v>340.1</v>
      </c>
      <c r="G54" s="56">
        <v>678</v>
      </c>
      <c r="H54" s="57" t="s">
        <v>166</v>
      </c>
      <c r="I54" s="57" t="s">
        <v>266</v>
      </c>
      <c r="J54" s="58">
        <v>216792.12</v>
      </c>
      <c r="K54" s="68">
        <f t="shared" ca="1" si="1"/>
        <v>2.3353867214236823</v>
      </c>
      <c r="L54" s="69">
        <f t="shared" ca="1" si="2"/>
        <v>0.34368348494059253</v>
      </c>
    </row>
    <row r="55" spans="1:12" ht="16.5" customHeight="1" x14ac:dyDescent="0.2">
      <c r="A55" s="51">
        <f t="shared" si="0"/>
        <v>52</v>
      </c>
      <c r="B55" s="52" t="s">
        <v>267</v>
      </c>
      <c r="C55" s="53" t="s">
        <v>268</v>
      </c>
      <c r="D55" s="54" t="s">
        <v>269</v>
      </c>
      <c r="E55" s="54" t="s">
        <v>270</v>
      </c>
      <c r="F55" s="55">
        <v>611.6</v>
      </c>
      <c r="G55" s="56">
        <v>838</v>
      </c>
      <c r="H55" s="57" t="s">
        <v>271</v>
      </c>
      <c r="I55" s="57" t="s">
        <v>272</v>
      </c>
      <c r="J55" s="58">
        <v>159506.70000000001</v>
      </c>
      <c r="K55" s="68">
        <f t="shared" ca="1" si="1"/>
        <v>2.1409993155373033</v>
      </c>
      <c r="L55" s="69">
        <f t="shared" ca="1" si="2"/>
        <v>0.15846906136444994</v>
      </c>
    </row>
    <row r="56" spans="1:12" ht="16.5" customHeight="1" x14ac:dyDescent="0.2">
      <c r="A56" s="51">
        <f t="shared" si="0"/>
        <v>53</v>
      </c>
      <c r="B56" s="60" t="s">
        <v>273</v>
      </c>
      <c r="C56" s="61" t="s">
        <v>274</v>
      </c>
      <c r="D56" s="59" t="s">
        <v>275</v>
      </c>
      <c r="E56" s="59" t="s">
        <v>276</v>
      </c>
      <c r="F56" s="62">
        <v>646.6</v>
      </c>
      <c r="G56" s="63">
        <v>612</v>
      </c>
      <c r="H56" s="64" t="s">
        <v>277</v>
      </c>
      <c r="I56" s="64" t="s">
        <v>278</v>
      </c>
      <c r="J56" s="65">
        <v>94648.93</v>
      </c>
      <c r="K56" s="68">
        <f t="shared" ca="1" si="1"/>
        <v>1.9739904175222451</v>
      </c>
      <c r="L56" s="69">
        <f t="shared" ca="1" si="2"/>
        <v>-2.7475592633375623E-2</v>
      </c>
    </row>
    <row r="57" spans="1:12" ht="16.5" customHeight="1" x14ac:dyDescent="0.2">
      <c r="A57" s="51">
        <f t="shared" si="0"/>
        <v>54</v>
      </c>
      <c r="B57" s="60" t="s">
        <v>279</v>
      </c>
      <c r="C57" s="61" t="s">
        <v>280</v>
      </c>
      <c r="D57" s="59" t="s">
        <v>281</v>
      </c>
      <c r="E57" s="59" t="s">
        <v>282</v>
      </c>
      <c r="F57" s="62">
        <v>1406.2</v>
      </c>
      <c r="G57" s="63">
        <v>900</v>
      </c>
      <c r="H57" s="64" t="s">
        <v>283</v>
      </c>
      <c r="I57" s="64" t="s">
        <v>284</v>
      </c>
      <c r="J57" s="65">
        <v>64002.28</v>
      </c>
      <c r="K57" s="68">
        <f t="shared" ca="1" si="1"/>
        <v>1.7385352498288844</v>
      </c>
      <c r="L57" s="69">
        <f t="shared" ca="1" si="2"/>
        <v>-0.22638619046149377</v>
      </c>
    </row>
    <row r="58" spans="1:12" ht="16.5" customHeight="1" x14ac:dyDescent="0.2">
      <c r="A58" s="51">
        <f t="shared" si="0"/>
        <v>55</v>
      </c>
      <c r="B58" s="60" t="s">
        <v>285</v>
      </c>
      <c r="C58" s="61" t="s">
        <v>286</v>
      </c>
      <c r="D58" s="59" t="s">
        <v>287</v>
      </c>
      <c r="E58" s="59" t="s">
        <v>282</v>
      </c>
      <c r="F58" s="62">
        <v>1162.7</v>
      </c>
      <c r="G58" s="63">
        <v>840</v>
      </c>
      <c r="H58" s="64" t="s">
        <v>288</v>
      </c>
      <c r="I58" s="64" t="s">
        <v>289</v>
      </c>
      <c r="J58" s="65">
        <v>72245.64</v>
      </c>
      <c r="K58" s="68">
        <f t="shared" ca="1" si="1"/>
        <v>1.7248459958932238</v>
      </c>
      <c r="L58" s="69">
        <f t="shared" ca="1" si="2"/>
        <v>-0.17178259652257544</v>
      </c>
    </row>
    <row r="59" spans="1:12" ht="16.5" customHeight="1" x14ac:dyDescent="0.2">
      <c r="A59" s="51">
        <f t="shared" si="0"/>
        <v>56</v>
      </c>
      <c r="B59" s="52" t="s">
        <v>290</v>
      </c>
      <c r="C59" s="53" t="s">
        <v>291</v>
      </c>
      <c r="D59" s="54" t="s">
        <v>292</v>
      </c>
      <c r="E59" s="54" t="s">
        <v>293</v>
      </c>
      <c r="F59" s="55">
        <v>331.1</v>
      </c>
      <c r="G59" s="56">
        <v>1295</v>
      </c>
      <c r="H59" s="57" t="s">
        <v>294</v>
      </c>
      <c r="I59" s="57" t="s">
        <v>295</v>
      </c>
      <c r="J59" s="58">
        <v>391120.51</v>
      </c>
      <c r="K59" s="68">
        <f t="shared" ca="1" si="1"/>
        <v>1.2457221081451062</v>
      </c>
      <c r="L59" s="69">
        <f t="shared" ca="1" si="2"/>
        <v>1.9886543981469798</v>
      </c>
    </row>
    <row r="60" spans="1:12" ht="16.5" customHeight="1" x14ac:dyDescent="0.2">
      <c r="A60" s="51">
        <f t="shared" si="0"/>
        <v>57</v>
      </c>
      <c r="B60" s="52" t="s">
        <v>296</v>
      </c>
      <c r="C60" s="53" t="s">
        <v>297</v>
      </c>
      <c r="D60" s="54" t="s">
        <v>298</v>
      </c>
      <c r="E60" s="54" t="s">
        <v>299</v>
      </c>
      <c r="F60" s="55">
        <v>332.5</v>
      </c>
      <c r="G60" s="56">
        <v>1006</v>
      </c>
      <c r="H60" s="57" t="s">
        <v>300</v>
      </c>
      <c r="I60" s="57" t="s">
        <v>301</v>
      </c>
      <c r="J60" s="58">
        <v>302556.39</v>
      </c>
      <c r="K60" s="68">
        <f t="shared" ca="1" si="1"/>
        <v>1.0869267624914443</v>
      </c>
      <c r="L60" s="69">
        <f t="shared" ca="1" si="2"/>
        <v>1.7691975301062191</v>
      </c>
    </row>
    <row r="61" spans="1:12" ht="16.5" customHeight="1" x14ac:dyDescent="0.2">
      <c r="A61" s="51">
        <f t="shared" si="0"/>
        <v>58</v>
      </c>
      <c r="B61" s="52" t="s">
        <v>302</v>
      </c>
      <c r="C61" s="53" t="s">
        <v>303</v>
      </c>
      <c r="D61" s="54" t="s">
        <v>304</v>
      </c>
      <c r="E61" s="54" t="s">
        <v>299</v>
      </c>
      <c r="F61" s="55">
        <v>332.7</v>
      </c>
      <c r="G61" s="56">
        <v>1081.5</v>
      </c>
      <c r="H61" s="57" t="s">
        <v>305</v>
      </c>
      <c r="I61" s="57" t="s">
        <v>306</v>
      </c>
      <c r="J61" s="58">
        <v>325067.63</v>
      </c>
      <c r="K61" s="68">
        <f t="shared" ca="1" si="1"/>
        <v>1.0814510609171799</v>
      </c>
      <c r="L61" s="69">
        <f t="shared" ca="1" si="2"/>
        <v>1.9744979687565207</v>
      </c>
    </row>
    <row r="62" spans="1:12" ht="16.5" customHeight="1" x14ac:dyDescent="0.2">
      <c r="A62" s="51">
        <f t="shared" si="0"/>
        <v>59</v>
      </c>
      <c r="B62" s="52" t="s">
        <v>307</v>
      </c>
      <c r="C62" s="53" t="s">
        <v>308</v>
      </c>
      <c r="D62" s="54" t="s">
        <v>309</v>
      </c>
      <c r="E62" s="54" t="s">
        <v>310</v>
      </c>
      <c r="F62" s="55">
        <v>297</v>
      </c>
      <c r="G62" s="56">
        <v>1170</v>
      </c>
      <c r="H62" s="57" t="s">
        <v>311</v>
      </c>
      <c r="I62" s="57" t="s">
        <v>312</v>
      </c>
      <c r="J62" s="58">
        <v>393939.39</v>
      </c>
      <c r="K62" s="68">
        <f t="shared" ca="1" si="1"/>
        <v>1.0157426420260096</v>
      </c>
      <c r="L62" s="69">
        <f t="shared" ca="1" si="2"/>
        <v>2.8565685829204841</v>
      </c>
    </row>
    <row r="63" spans="1:12" ht="16.5" customHeight="1" x14ac:dyDescent="0.2">
      <c r="A63" s="51">
        <f t="shared" si="0"/>
        <v>60</v>
      </c>
      <c r="B63" s="52" t="s">
        <v>313</v>
      </c>
      <c r="C63" s="53" t="s">
        <v>314</v>
      </c>
      <c r="D63" s="54" t="s">
        <v>315</v>
      </c>
      <c r="E63" s="54" t="s">
        <v>316</v>
      </c>
      <c r="F63" s="55">
        <v>318.2</v>
      </c>
      <c r="G63" s="56">
        <v>977.1</v>
      </c>
      <c r="H63" s="57" t="s">
        <v>317</v>
      </c>
      <c r="I63" s="57" t="s">
        <v>318</v>
      </c>
      <c r="J63" s="58">
        <v>307071.02</v>
      </c>
      <c r="K63" s="68">
        <f t="shared" ca="1" si="1"/>
        <v>0.95277207392197127</v>
      </c>
      <c r="L63" s="69">
        <f t="shared" ca="1" si="2"/>
        <v>2.246315782313415</v>
      </c>
    </row>
    <row r="64" spans="1:12" ht="16.5" customHeight="1" x14ac:dyDescent="0.2">
      <c r="A64" s="51">
        <f t="shared" si="0"/>
        <v>61</v>
      </c>
      <c r="B64" s="52" t="s">
        <v>319</v>
      </c>
      <c r="C64" s="53" t="s">
        <v>320</v>
      </c>
      <c r="D64" s="54" t="s">
        <v>321</v>
      </c>
      <c r="E64" s="54" t="s">
        <v>322</v>
      </c>
      <c r="F64" s="55">
        <v>9.07</v>
      </c>
      <c r="G64" s="56">
        <v>10.130000000000001</v>
      </c>
      <c r="H64" s="57" t="s">
        <v>323</v>
      </c>
      <c r="I64" s="57" t="s">
        <v>211</v>
      </c>
      <c r="J64" s="58">
        <v>111686.88</v>
      </c>
      <c r="K64" s="68">
        <f t="shared" ca="1" si="1"/>
        <v>0.87063655030800824</v>
      </c>
      <c r="L64" s="69">
        <f t="shared" ca="1" si="2"/>
        <v>0.1353625227224744</v>
      </c>
    </row>
    <row r="65" spans="1:12" ht="16.5" customHeight="1" x14ac:dyDescent="0.2">
      <c r="A65" s="51">
        <f t="shared" si="0"/>
        <v>62</v>
      </c>
      <c r="B65" s="52" t="s">
        <v>324</v>
      </c>
      <c r="C65" s="53" t="s">
        <v>325</v>
      </c>
      <c r="D65" s="54" t="s">
        <v>326</v>
      </c>
      <c r="E65" s="54" t="s">
        <v>322</v>
      </c>
      <c r="F65" s="55">
        <v>402.7</v>
      </c>
      <c r="G65" s="56">
        <v>819.9</v>
      </c>
      <c r="H65" s="57" t="s">
        <v>327</v>
      </c>
      <c r="I65" s="57" t="s">
        <v>328</v>
      </c>
      <c r="J65" s="58">
        <v>203600.7</v>
      </c>
      <c r="K65" s="68">
        <f t="shared" ca="1" si="1"/>
        <v>0.81314168377823404</v>
      </c>
      <c r="L65" s="69">
        <f t="shared" ca="1" si="2"/>
        <v>1.3973757400360345</v>
      </c>
    </row>
    <row r="66" spans="1:12" ht="16.5" customHeight="1" x14ac:dyDescent="0.2">
      <c r="A66" s="51">
        <f t="shared" si="0"/>
        <v>63</v>
      </c>
      <c r="B66" s="52" t="s">
        <v>329</v>
      </c>
      <c r="C66" s="53" t="s">
        <v>330</v>
      </c>
      <c r="D66" s="54" t="s">
        <v>331</v>
      </c>
      <c r="E66" s="54" t="s">
        <v>322</v>
      </c>
      <c r="F66" s="55">
        <v>394.9</v>
      </c>
      <c r="G66" s="56">
        <v>684</v>
      </c>
      <c r="H66" s="57" t="s">
        <v>332</v>
      </c>
      <c r="I66" s="57" t="s">
        <v>333</v>
      </c>
      <c r="J66" s="58">
        <v>173208.41</v>
      </c>
      <c r="K66" s="68">
        <f t="shared" ca="1" si="1"/>
        <v>0.80492813141683783</v>
      </c>
      <c r="L66" s="69">
        <f t="shared" ca="1" si="2"/>
        <v>0.97872493715047515</v>
      </c>
    </row>
    <row r="67" spans="1:12" ht="16.5" customHeight="1" x14ac:dyDescent="0.2">
      <c r="A67" s="51">
        <f t="shared" si="0"/>
        <v>64</v>
      </c>
      <c r="B67" s="52" t="s">
        <v>334</v>
      </c>
      <c r="C67" s="53" t="s">
        <v>335</v>
      </c>
      <c r="D67" s="54" t="s">
        <v>336</v>
      </c>
      <c r="E67" s="54" t="s">
        <v>337</v>
      </c>
      <c r="F67" s="55">
        <v>321.3</v>
      </c>
      <c r="G67" s="56">
        <v>515</v>
      </c>
      <c r="H67" s="57" t="s">
        <v>271</v>
      </c>
      <c r="I67" s="57" t="s">
        <v>338</v>
      </c>
      <c r="J67" s="58">
        <v>160286.34</v>
      </c>
      <c r="K67" s="68">
        <f t="shared" ca="1" si="1"/>
        <v>0.72005475701574262</v>
      </c>
      <c r="L67" s="69">
        <f t="shared" ca="1" si="2"/>
        <v>0.92555902650455613</v>
      </c>
    </row>
    <row r="68" spans="1:12" ht="16.5" customHeight="1" x14ac:dyDescent="0.2">
      <c r="A68" s="51">
        <f t="shared" si="0"/>
        <v>65</v>
      </c>
      <c r="B68" s="52" t="s">
        <v>339</v>
      </c>
      <c r="C68" s="53" t="s">
        <v>340</v>
      </c>
      <c r="D68" s="54" t="s">
        <v>341</v>
      </c>
      <c r="E68" s="54" t="s">
        <v>342</v>
      </c>
      <c r="F68" s="55">
        <v>267.5</v>
      </c>
      <c r="G68" s="56">
        <v>909.9</v>
      </c>
      <c r="H68" s="57" t="s">
        <v>343</v>
      </c>
      <c r="I68" s="57" t="s">
        <v>344</v>
      </c>
      <c r="J68" s="58">
        <v>340149.53</v>
      </c>
      <c r="K68" s="68">
        <f t="shared" ca="1" si="1"/>
        <v>0.68720054757015747</v>
      </c>
      <c r="L68" s="69">
        <f t="shared" ca="1" si="2"/>
        <v>4.9384758240771003</v>
      </c>
    </row>
    <row r="69" spans="1:12" ht="16.5" customHeight="1" x14ac:dyDescent="0.2">
      <c r="A69" s="51">
        <f t="shared" ref="A69:A79" si="3">IF(B69&lt;&gt;"",ROW()-3,"")</f>
        <v>66</v>
      </c>
      <c r="B69" s="52" t="s">
        <v>345</v>
      </c>
      <c r="C69" s="53" t="s">
        <v>346</v>
      </c>
      <c r="D69" s="54" t="s">
        <v>347</v>
      </c>
      <c r="E69" s="54" t="s">
        <v>348</v>
      </c>
      <c r="F69" s="55">
        <v>349.4</v>
      </c>
      <c r="G69" s="56">
        <v>660</v>
      </c>
      <c r="H69" s="57" t="s">
        <v>237</v>
      </c>
      <c r="I69" s="57" t="s">
        <v>349</v>
      </c>
      <c r="J69" s="58">
        <v>188895.25</v>
      </c>
      <c r="K69" s="68">
        <f t="shared" ref="K69:K79" ca="1" si="4">IFERROR((TODAY()-DATEVALUE(D69))/365.25,"")</f>
        <v>0.51197809719370291</v>
      </c>
      <c r="L69" s="69">
        <f t="shared" ref="L69:L79" ca="1" si="5">IFERROR(IF(K69&gt;=0.25,(G69/F69)^(1/K69)-1,"&lt;3mo"),"")</f>
        <v>2.4635167218083724</v>
      </c>
    </row>
    <row r="70" spans="1:12" ht="16.5" customHeight="1" x14ac:dyDescent="0.2">
      <c r="A70" s="51">
        <f t="shared" si="3"/>
        <v>67</v>
      </c>
      <c r="B70" s="52" t="s">
        <v>350</v>
      </c>
      <c r="C70" s="53" t="s">
        <v>351</v>
      </c>
      <c r="D70" s="54" t="s">
        <v>352</v>
      </c>
      <c r="E70" s="54" t="s">
        <v>348</v>
      </c>
      <c r="F70" s="55">
        <v>442.4</v>
      </c>
      <c r="G70" s="56">
        <v>599</v>
      </c>
      <c r="H70" s="57" t="s">
        <v>92</v>
      </c>
      <c r="I70" s="57" t="s">
        <v>353</v>
      </c>
      <c r="J70" s="58">
        <v>135397.82999999999</v>
      </c>
      <c r="K70" s="68">
        <f t="shared" ca="1" si="4"/>
        <v>0.50650239561943877</v>
      </c>
      <c r="L70" s="69">
        <f t="shared" ca="1" si="5"/>
        <v>0.81904812409068062</v>
      </c>
    </row>
    <row r="71" spans="1:12" ht="16.5" customHeight="1" x14ac:dyDescent="0.2">
      <c r="A71" s="51">
        <f t="shared" si="3"/>
        <v>68</v>
      </c>
      <c r="B71" s="52" t="s">
        <v>354</v>
      </c>
      <c r="C71" s="53" t="s">
        <v>355</v>
      </c>
      <c r="D71" s="54" t="s">
        <v>356</v>
      </c>
      <c r="E71" s="54" t="s">
        <v>348</v>
      </c>
      <c r="F71" s="55">
        <v>351.4</v>
      </c>
      <c r="G71" s="56">
        <v>1729</v>
      </c>
      <c r="H71" s="57" t="s">
        <v>357</v>
      </c>
      <c r="I71" s="57" t="s">
        <v>358</v>
      </c>
      <c r="J71" s="58">
        <v>492031.87</v>
      </c>
      <c r="K71" s="68">
        <f t="shared" ca="1" si="4"/>
        <v>0.49828884325804246</v>
      </c>
      <c r="L71" s="69">
        <f t="shared" ca="1" si="5"/>
        <v>23.475928340937855</v>
      </c>
    </row>
    <row r="72" spans="1:12" ht="16.5" customHeight="1" x14ac:dyDescent="0.2">
      <c r="A72" s="51">
        <f t="shared" si="3"/>
        <v>69</v>
      </c>
      <c r="B72" s="52" t="s">
        <v>359</v>
      </c>
      <c r="C72" s="53" t="s">
        <v>360</v>
      </c>
      <c r="D72" s="54" t="s">
        <v>361</v>
      </c>
      <c r="E72" s="54" t="s">
        <v>348</v>
      </c>
      <c r="F72" s="55">
        <v>332.6</v>
      </c>
      <c r="G72" s="56">
        <v>569.1</v>
      </c>
      <c r="H72" s="57" t="s">
        <v>127</v>
      </c>
      <c r="I72" s="57" t="s">
        <v>362</v>
      </c>
      <c r="J72" s="58">
        <v>171106.43</v>
      </c>
      <c r="K72" s="68">
        <f t="shared" ca="1" si="4"/>
        <v>0.49555099247091033</v>
      </c>
      <c r="L72" s="69">
        <f t="shared" ca="1" si="5"/>
        <v>1.956113913067445</v>
      </c>
    </row>
    <row r="73" spans="1:12" ht="16.5" customHeight="1" x14ac:dyDescent="0.2">
      <c r="A73" s="51">
        <f t="shared" si="3"/>
        <v>70</v>
      </c>
      <c r="B73" s="52" t="s">
        <v>363</v>
      </c>
      <c r="C73" s="53" t="s">
        <v>364</v>
      </c>
      <c r="D73" s="54" t="s">
        <v>365</v>
      </c>
      <c r="E73" s="54" t="s">
        <v>348</v>
      </c>
      <c r="F73" s="55">
        <v>407.4</v>
      </c>
      <c r="G73" s="56">
        <v>2485</v>
      </c>
      <c r="H73" s="57" t="s">
        <v>366</v>
      </c>
      <c r="I73" s="57" t="s">
        <v>367</v>
      </c>
      <c r="J73" s="58">
        <v>609965.64</v>
      </c>
      <c r="K73" s="68">
        <f t="shared" ca="1" si="4"/>
        <v>0.49281314168377821</v>
      </c>
      <c r="L73" s="69">
        <f t="shared" ca="1" si="5"/>
        <v>38.220712296093964</v>
      </c>
    </row>
    <row r="74" spans="1:12" ht="16.5" customHeight="1" x14ac:dyDescent="0.2">
      <c r="A74" s="51">
        <f t="shared" si="3"/>
        <v>71</v>
      </c>
      <c r="B74" s="52" t="s">
        <v>368</v>
      </c>
      <c r="C74" s="53" t="s">
        <v>369</v>
      </c>
      <c r="D74" s="54" t="s">
        <v>365</v>
      </c>
      <c r="E74" s="54" t="s">
        <v>348</v>
      </c>
      <c r="F74" s="55">
        <v>313.5</v>
      </c>
      <c r="G74" s="56">
        <v>832</v>
      </c>
      <c r="H74" s="57" t="s">
        <v>370</v>
      </c>
      <c r="I74" s="57" t="s">
        <v>371</v>
      </c>
      <c r="J74" s="58">
        <v>265390.75</v>
      </c>
      <c r="K74" s="68">
        <f t="shared" ca="1" si="4"/>
        <v>0.49281314168377821</v>
      </c>
      <c r="L74" s="69">
        <f t="shared" ca="1" si="5"/>
        <v>6.2466101428388194</v>
      </c>
    </row>
    <row r="75" spans="1:12" ht="16.5" customHeight="1" x14ac:dyDescent="0.2">
      <c r="A75" s="51">
        <f t="shared" si="3"/>
        <v>72</v>
      </c>
      <c r="B75" s="52" t="s">
        <v>372</v>
      </c>
      <c r="C75" s="53" t="s">
        <v>373</v>
      </c>
      <c r="D75" s="54" t="s">
        <v>374</v>
      </c>
      <c r="E75" s="54" t="s">
        <v>348</v>
      </c>
      <c r="F75" s="55">
        <v>311.2</v>
      </c>
      <c r="G75" s="56">
        <v>1840</v>
      </c>
      <c r="H75" s="57" t="s">
        <v>375</v>
      </c>
      <c r="I75" s="57" t="s">
        <v>376</v>
      </c>
      <c r="J75" s="58">
        <v>591259.64</v>
      </c>
      <c r="K75" s="68">
        <f t="shared" ca="1" si="4"/>
        <v>0.4791238877481177</v>
      </c>
      <c r="L75" s="69">
        <f t="shared" ca="1" si="5"/>
        <v>39.814213300918276</v>
      </c>
    </row>
    <row r="76" spans="1:12" ht="16.5" customHeight="1" x14ac:dyDescent="0.2">
      <c r="A76" s="51">
        <f t="shared" si="3"/>
        <v>73</v>
      </c>
      <c r="B76" s="52" t="s">
        <v>377</v>
      </c>
      <c r="C76" s="53" t="s">
        <v>378</v>
      </c>
      <c r="D76" s="54" t="s">
        <v>379</v>
      </c>
      <c r="E76" s="54" t="s">
        <v>380</v>
      </c>
      <c r="F76" s="55">
        <v>331.8</v>
      </c>
      <c r="G76" s="56">
        <v>1145</v>
      </c>
      <c r="H76" s="57" t="s">
        <v>381</v>
      </c>
      <c r="I76" s="57" t="s">
        <v>382</v>
      </c>
      <c r="J76" s="58">
        <v>345087.4</v>
      </c>
      <c r="K76" s="68">
        <f t="shared" ca="1" si="4"/>
        <v>0.45722108145106094</v>
      </c>
      <c r="L76" s="69">
        <f t="shared" ca="1" si="5"/>
        <v>14.014766972563532</v>
      </c>
    </row>
    <row r="77" spans="1:12" ht="16.5" customHeight="1" x14ac:dyDescent="0.2">
      <c r="A77" s="51">
        <f t="shared" si="3"/>
        <v>74</v>
      </c>
      <c r="B77" s="52" t="s">
        <v>383</v>
      </c>
      <c r="C77" s="53" t="s">
        <v>384</v>
      </c>
      <c r="D77" s="54" t="s">
        <v>385</v>
      </c>
      <c r="E77" s="54" t="s">
        <v>380</v>
      </c>
      <c r="F77" s="55">
        <v>351.7</v>
      </c>
      <c r="G77" s="56">
        <v>1465</v>
      </c>
      <c r="H77" s="57" t="s">
        <v>386</v>
      </c>
      <c r="I77" s="57" t="s">
        <v>387</v>
      </c>
      <c r="J77" s="58">
        <v>416548.19</v>
      </c>
      <c r="K77" s="68">
        <f t="shared" ca="1" si="4"/>
        <v>0.4134154688569473</v>
      </c>
      <c r="L77" s="69">
        <f t="shared" ca="1" si="5"/>
        <v>30.542221998833746</v>
      </c>
    </row>
    <row r="78" spans="1:12" ht="16.5" customHeight="1" x14ac:dyDescent="0.2">
      <c r="A78" s="51">
        <f t="shared" si="3"/>
        <v>75</v>
      </c>
      <c r="B78" s="52" t="s">
        <v>388</v>
      </c>
      <c r="C78" s="53" t="s">
        <v>389</v>
      </c>
      <c r="D78" s="54" t="s">
        <v>390</v>
      </c>
      <c r="E78" s="54" t="s">
        <v>391</v>
      </c>
      <c r="F78" s="55">
        <v>330</v>
      </c>
      <c r="G78" s="56">
        <v>1235</v>
      </c>
      <c r="H78" s="57" t="s">
        <v>392</v>
      </c>
      <c r="I78" s="57" t="s">
        <v>393</v>
      </c>
      <c r="J78" s="58">
        <v>374242.42</v>
      </c>
      <c r="K78" s="68">
        <f t="shared" ca="1" si="4"/>
        <v>0.22724161533196441</v>
      </c>
      <c r="L78" s="69" t="str">
        <f t="shared" ca="1" si="5"/>
        <v>&lt;3mo</v>
      </c>
    </row>
    <row r="79" spans="1:12" ht="16.5" customHeight="1" x14ac:dyDescent="0.2">
      <c r="A79" s="51">
        <f t="shared" si="3"/>
        <v>76</v>
      </c>
      <c r="B79" s="52" t="s">
        <v>394</v>
      </c>
      <c r="C79" s="53" t="s">
        <v>395</v>
      </c>
      <c r="D79" s="54" t="s">
        <v>390</v>
      </c>
      <c r="E79" s="54" t="s">
        <v>396</v>
      </c>
      <c r="F79" s="55">
        <v>330</v>
      </c>
      <c r="G79" s="56">
        <v>361.8</v>
      </c>
      <c r="H79" s="57" t="s">
        <v>122</v>
      </c>
      <c r="I79" s="57" t="s">
        <v>397</v>
      </c>
      <c r="J79" s="58">
        <v>109636.36</v>
      </c>
      <c r="K79" s="68">
        <f t="shared" ca="1" si="4"/>
        <v>0.22724161533196441</v>
      </c>
      <c r="L79" s="69" t="str">
        <f t="shared" ca="1" si="5"/>
        <v>&lt;3mo</v>
      </c>
    </row>
    <row r="81" spans="1:10" ht="19.5" customHeight="1" x14ac:dyDescent="0.2">
      <c r="A81" s="111" t="str" cm="1">
        <f t="array" aca="1" ref="A81" ca="1">"Equities: "&amp;COUNTA(B4:B79)&amp;"  ·  Avg CAGR (time-wtd): "&amp;TEXT(SUMPRODUCT(((TODAY()-DATEVALUE(D4:D79))/365.25&gt;=0.1)*((G4:G79/F4:F79)^(1/MAX((TODAY()-DATEVALUE(D4:D79))/365.25,0.1))-1))/SUMPRODUCT(((TODAY()-DATEVALUE(D4:D79))/365.25&gt;=0.1)*1),"0.0%")</f>
        <v>Equities: 76  ·  Avg CAGR (time-wtd): 19.2%</v>
      </c>
      <c r="B81" s="111"/>
      <c r="C81" s="111"/>
      <c r="D81" s="111"/>
      <c r="E81" s="111"/>
      <c r="F81" s="111"/>
      <c r="G81" s="111"/>
      <c r="H81" s="111"/>
      <c r="I81" s="111"/>
      <c r="J81" s="111"/>
    </row>
  </sheetData>
  <mergeCells count="3">
    <mergeCell ref="A1:J1"/>
    <mergeCell ref="A2:J2"/>
    <mergeCell ref="A81:J81"/>
  </mergeCells>
  <conditionalFormatting sqref="A4:F79">
    <cfRule type="expression" dxfId="5" priority="1">
      <formula>MOD(ROW(),2)=0</formula>
    </cfRule>
    <cfRule type="expression" dxfId="4" priority="2">
      <formula>MOD(ROW(),2)=1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5F89-50A4-EF40-9084-20D06BA2A71C}">
  <dimension ref="A1:O77"/>
  <sheetViews>
    <sheetView topLeftCell="A32" zoomScale="150" zoomScaleNormal="150" workbookViewId="0">
      <selection activeCell="G22" sqref="G22"/>
    </sheetView>
  </sheetViews>
  <sheetFormatPr baseColWidth="10" defaultRowHeight="15" x14ac:dyDescent="0.2"/>
  <cols>
    <col min="1" max="1" width="23.83203125" customWidth="1"/>
    <col min="2" max="8" width="15.83203125" customWidth="1"/>
    <col min="14" max="15" width="0" hidden="1" customWidth="1"/>
  </cols>
  <sheetData>
    <row r="1" spans="1:15" ht="32" customHeight="1" x14ac:dyDescent="0.25">
      <c r="A1" s="118" t="s">
        <v>659</v>
      </c>
      <c r="B1" s="113"/>
      <c r="C1" s="113"/>
      <c r="D1" s="113"/>
      <c r="E1" s="113"/>
      <c r="F1" s="113"/>
      <c r="G1" s="113"/>
      <c r="H1" s="113"/>
      <c r="N1" t="s">
        <v>662</v>
      </c>
      <c r="O1" t="s">
        <v>667</v>
      </c>
    </row>
    <row r="2" spans="1:15" x14ac:dyDescent="0.2">
      <c r="A2" s="119" t="s">
        <v>660</v>
      </c>
      <c r="B2" s="113"/>
      <c r="C2" s="113"/>
      <c r="D2" s="113"/>
      <c r="E2" s="113"/>
      <c r="F2" s="113"/>
      <c r="G2" s="113"/>
      <c r="H2" s="113"/>
      <c r="N2" t="s">
        <v>707</v>
      </c>
      <c r="O2" s="95">
        <f t="shared" ref="O2:O8" ca="1" si="0">F8</f>
        <v>1.1880503385932548</v>
      </c>
    </row>
    <row r="3" spans="1:15" x14ac:dyDescent="0.2">
      <c r="N3" t="s">
        <v>708</v>
      </c>
      <c r="O3" s="95">
        <f t="shared" ca="1" si="0"/>
        <v>1.9815761834517502</v>
      </c>
    </row>
    <row r="4" spans="1:15" ht="16" x14ac:dyDescent="0.2">
      <c r="A4" s="70" t="s">
        <v>661</v>
      </c>
      <c r="B4" s="71"/>
      <c r="C4" s="71"/>
      <c r="D4" s="71"/>
      <c r="E4" s="71"/>
      <c r="F4" s="71"/>
      <c r="G4" s="71"/>
      <c r="H4" s="71"/>
      <c r="N4" t="s">
        <v>709</v>
      </c>
      <c r="O4" s="95">
        <f t="shared" ca="1" si="0"/>
        <v>-0.17178259652257544</v>
      </c>
    </row>
    <row r="5" spans="1:15" x14ac:dyDescent="0.2">
      <c r="N5" t="s">
        <v>710</v>
      </c>
      <c r="O5" s="95">
        <f t="shared" ca="1" si="0"/>
        <v>0.29875049988336866</v>
      </c>
    </row>
    <row r="6" spans="1:15" x14ac:dyDescent="0.2">
      <c r="A6" s="73" t="s">
        <v>662</v>
      </c>
      <c r="B6" s="73" t="s">
        <v>663</v>
      </c>
      <c r="C6" s="73" t="s">
        <v>664</v>
      </c>
      <c r="D6" s="73" t="s">
        <v>665</v>
      </c>
      <c r="E6" s="73" t="s">
        <v>666</v>
      </c>
      <c r="F6" s="73" t="s">
        <v>667</v>
      </c>
      <c r="G6" s="73" t="s">
        <v>668</v>
      </c>
      <c r="H6" s="73" t="s">
        <v>669</v>
      </c>
      <c r="N6" t="s">
        <v>711</v>
      </c>
      <c r="O6" s="95">
        <f t="shared" ca="1" si="0"/>
        <v>6.6259463335386237E-2</v>
      </c>
    </row>
    <row r="7" spans="1:15" x14ac:dyDescent="0.2">
      <c r="A7" s="49" t="s">
        <v>670</v>
      </c>
      <c r="B7" s="49">
        <v>0.25</v>
      </c>
      <c r="C7" s="49">
        <v>0.5</v>
      </c>
      <c r="D7" s="77">
        <f ca="1">COUNTIFS('📈 Equities IPO''s'!$K$4:$K$79,"&gt;="&amp;B7,'📈 Equities IPO''s'!$K$4:$K$79,"&lt;"&amp;C7)</f>
        <v>7</v>
      </c>
      <c r="E7" s="80">
        <f ca="1">IFERROR(AVERAGEIFS('📈 Equities IPO''s'!$L$4:$L$79,'📈 Equities IPO''s'!$K$4:$K$79,"&gt;="&amp;B7,'📈 Equities IPO''s'!$K$4:$K$79,"&lt;"&amp;C7),"")</f>
        <v>22.038652423607662</v>
      </c>
      <c r="F7" s="80" cm="1">
        <f t="array" aca="1" ref="F7" ca="1">IFERROR(IF(D7&gt;0,_xlfn.AGGREGATE(17,6,'📈 Equities IPO''s'!$L$4:$L$79/(('📈 Equities IPO''s'!$K$4:$K$79&gt;=B7)*('📈 Equities IPO''s'!$K$4:$K$79&lt;C7)),2),""),"")</f>
        <v>23.475928340937855</v>
      </c>
      <c r="G7" s="80">
        <f ca="1">IFERROR(_xlfn.MINIFS('📈 Equities IPO''s'!$L$4:$L$79,'📈 Equities IPO''s'!$K$4:$K$79,"&gt;="&amp;B7,'📈 Equities IPO''s'!$K$4:$K$79,"&lt;"&amp;C7),"")</f>
        <v>1.956113913067445</v>
      </c>
      <c r="H7" s="80">
        <f ca="1">IFERROR(_xlfn.MAXIFS('📈 Equities IPO''s'!$L$4:$L$79,'📈 Equities IPO''s'!$K$4:$K$79,"&gt;="&amp;B7,'📈 Equities IPO''s'!$K$4:$K$79,"&lt;"&amp;C7),"")</f>
        <v>39.814213300918276</v>
      </c>
      <c r="N7" t="s">
        <v>712</v>
      </c>
      <c r="O7" s="95">
        <f t="shared" ca="1" si="0"/>
        <v>0.14524493030219887</v>
      </c>
    </row>
    <row r="8" spans="1:15" x14ac:dyDescent="0.2">
      <c r="A8" t="s">
        <v>671</v>
      </c>
      <c r="B8">
        <v>0.5</v>
      </c>
      <c r="C8">
        <v>1</v>
      </c>
      <c r="D8" s="74">
        <f ca="1">COUNTIFS('📈 Equities IPO''s'!$K$4:$K$79,"&gt;="&amp;B8,'📈 Equities IPO''s'!$K$4:$K$79,"&lt;"&amp;C8)</f>
        <v>8</v>
      </c>
      <c r="E8" s="81">
        <f ca="1">IFERROR(AVERAGEIFS('📈 Equities IPO''s'!$L$4:$L$79,'📈 Equities IPO''s'!$K$4:$K$79,"&gt;="&amp;B8,'📈 Equities IPO''s'!$K$4:$K$79,"&lt;"&amp;C8),"")</f>
        <v>1.7380473348378889</v>
      </c>
      <c r="F8" s="78" cm="1">
        <f t="array" aca="1" ref="F8" ca="1">IFERROR(IF(D8&gt;0,_xlfn.AGGREGATE(17,6,'📈 Equities IPO''s'!$L$4:$L$79/(('📈 Equities IPO''s'!$K$4:$K$79&gt;=B8)*('📈 Equities IPO''s'!$K$4:$K$79&lt;C8)),2),""),"")</f>
        <v>1.1880503385932548</v>
      </c>
      <c r="G8" s="79">
        <f ca="1">IFERROR(_xlfn.MINIFS('📈 Equities IPO''s'!$L$4:$L$79,'📈 Equities IPO''s'!$K$4:$K$79,"&gt;="&amp;B8,'📈 Equities IPO''s'!$K$4:$K$79,"&lt;"&amp;C8),"")</f>
        <v>0.1353625227224744</v>
      </c>
      <c r="H8" s="79">
        <f ca="1">IFERROR(_xlfn.MAXIFS('📈 Equities IPO''s'!$L$4:$L$79,'📈 Equities IPO''s'!$K$4:$K$79,"&gt;="&amp;B8,'📈 Equities IPO''s'!$K$4:$K$79,"&lt;"&amp;C8),"")</f>
        <v>4.9384758240771003</v>
      </c>
      <c r="N8" t="s">
        <v>677</v>
      </c>
      <c r="O8" s="95">
        <f t="shared" ca="1" si="0"/>
        <v>0.18241506382382544</v>
      </c>
    </row>
    <row r="9" spans="1:15" x14ac:dyDescent="0.2">
      <c r="A9" s="49" t="s">
        <v>672</v>
      </c>
      <c r="B9" s="49">
        <v>1</v>
      </c>
      <c r="C9" s="49">
        <v>1.5</v>
      </c>
      <c r="D9" s="77">
        <f ca="1">COUNTIFS('📈 Equities IPO''s'!$K$4:$K$79,"&gt;="&amp;B9,'📈 Equities IPO''s'!$K$4:$K$79,"&lt;"&amp;C9)</f>
        <v>4</v>
      </c>
      <c r="E9" s="82">
        <f ca="1">IFERROR(AVERAGEIFS('📈 Equities IPO''s'!$L$4:$L$79,'📈 Equities IPO''s'!$K$4:$K$79,"&gt;="&amp;B9,'📈 Equities IPO''s'!$K$4:$K$79,"&lt;"&amp;C9),"")</f>
        <v>2.1472296199825509</v>
      </c>
      <c r="F9" s="83" cm="1">
        <f t="array" aca="1" ref="F9" ca="1">IFERROR(IF(D9&gt;0,_xlfn.AGGREGATE(17,6,'📈 Equities IPO''s'!$L$4:$L$79/(('📈 Equities IPO''s'!$K$4:$K$79&gt;=B9)*('📈 Equities IPO''s'!$K$4:$K$79&lt;C9)),2),""),"")</f>
        <v>1.9815761834517502</v>
      </c>
      <c r="G9" s="84">
        <f ca="1">IFERROR(_xlfn.MINIFS('📈 Equities IPO''s'!$L$4:$L$79,'📈 Equities IPO''s'!$K$4:$K$79,"&gt;="&amp;B9,'📈 Equities IPO''s'!$K$4:$K$79,"&lt;"&amp;C9),"")</f>
        <v>1.7691975301062191</v>
      </c>
      <c r="H9" s="84">
        <f ca="1">IFERROR(_xlfn.MAXIFS('📈 Equities IPO''s'!$L$4:$L$79,'📈 Equities IPO''s'!$K$4:$K$79,"&gt;="&amp;B9,'📈 Equities IPO''s'!$K$4:$K$79,"&lt;"&amp;C9),"")</f>
        <v>2.8565685829204841</v>
      </c>
    </row>
    <row r="10" spans="1:15" x14ac:dyDescent="0.2">
      <c r="A10" t="s">
        <v>673</v>
      </c>
      <c r="B10">
        <v>1.5</v>
      </c>
      <c r="C10">
        <v>2</v>
      </c>
      <c r="D10" s="74">
        <f ca="1">COUNTIFS('📈 Equities IPO''s'!$K$4:$K$79,"&gt;="&amp;B10,'📈 Equities IPO''s'!$K$4:$K$79,"&lt;"&amp;C10)</f>
        <v>3</v>
      </c>
      <c r="E10" s="81">
        <f ca="1">IFERROR(AVERAGEIFS('📈 Equities IPO''s'!$L$4:$L$79,'📈 Equities IPO''s'!$K$4:$K$79,"&gt;="&amp;B10,'📈 Equities IPO''s'!$K$4:$K$79,"&lt;"&amp;C10),"")</f>
        <v>-0.1418814598724816</v>
      </c>
      <c r="F10" s="78" cm="1">
        <f t="array" aca="1" ref="F10" ca="1">IFERROR(IF(D10&gt;0,_xlfn.AGGREGATE(17,6,'📈 Equities IPO''s'!$L$4:$L$79/(('📈 Equities IPO''s'!$K$4:$K$79&gt;=B10)*('📈 Equities IPO''s'!$K$4:$K$79&lt;C10)),2),""),"")</f>
        <v>-0.17178259652257544</v>
      </c>
      <c r="G10" s="79">
        <f ca="1">IFERROR(_xlfn.MINIFS('📈 Equities IPO''s'!$L$4:$L$79,'📈 Equities IPO''s'!$K$4:$K$79,"&gt;="&amp;B10,'📈 Equities IPO''s'!$K$4:$K$79,"&lt;"&amp;C10),"")</f>
        <v>-0.22638619046149377</v>
      </c>
      <c r="H10" s="79">
        <f ca="1">IFERROR(_xlfn.MAXIFS('📈 Equities IPO''s'!$L$4:$L$79,'📈 Equities IPO''s'!$K$4:$K$79,"&gt;="&amp;B10,'📈 Equities IPO''s'!$K$4:$K$79,"&lt;"&amp;C10),"")</f>
        <v>-2.7475592633375623E-2</v>
      </c>
    </row>
    <row r="11" spans="1:15" x14ac:dyDescent="0.2">
      <c r="A11" s="49" t="s">
        <v>674</v>
      </c>
      <c r="B11" s="49">
        <v>2</v>
      </c>
      <c r="C11" s="49">
        <v>2.5</v>
      </c>
      <c r="D11" s="77">
        <f ca="1">COUNTIFS('📈 Equities IPO''s'!$K$4:$K$79,"&gt;="&amp;B11,'📈 Equities IPO''s'!$K$4:$K$79,"&lt;"&amp;C11)</f>
        <v>8</v>
      </c>
      <c r="E11" s="82">
        <f ca="1">IFERROR(AVERAGEIFS('📈 Equities IPO''s'!$L$4:$L$79,'📈 Equities IPO''s'!$K$4:$K$79,"&gt;="&amp;B11,'📈 Equities IPO''s'!$K$4:$K$79,"&lt;"&amp;C11),"")</f>
        <v>0.26608631827170304</v>
      </c>
      <c r="F11" s="83" cm="1">
        <f t="array" aca="1" ref="F11" ca="1">IFERROR(IF(D11&gt;0,_xlfn.AGGREGATE(17,6,'📈 Equities IPO''s'!$L$4:$L$79/(('📈 Equities IPO''s'!$K$4:$K$79&gt;=B11)*('📈 Equities IPO''s'!$K$4:$K$79&lt;C11)),2),""),"")</f>
        <v>0.29875049988336866</v>
      </c>
      <c r="G11" s="84">
        <f ca="1">IFERROR(_xlfn.MINIFS('📈 Equities IPO''s'!$L$4:$L$79,'📈 Equities IPO''s'!$K$4:$K$79,"&gt;="&amp;B11,'📈 Equities IPO''s'!$K$4:$K$79,"&lt;"&amp;C11),"")</f>
        <v>-9.0916083941199766E-2</v>
      </c>
      <c r="H11" s="84">
        <f ca="1">IFERROR(_xlfn.MAXIFS('📈 Equities IPO''s'!$L$4:$L$79,'📈 Equities IPO''s'!$K$4:$K$79,"&gt;="&amp;B11,'📈 Equities IPO''s'!$K$4:$K$79,"&lt;"&amp;C11),"")</f>
        <v>0.68785381753524755</v>
      </c>
    </row>
    <row r="12" spans="1:15" x14ac:dyDescent="0.2">
      <c r="A12" t="s">
        <v>675</v>
      </c>
      <c r="B12">
        <v>2.5</v>
      </c>
      <c r="C12">
        <v>3</v>
      </c>
      <c r="D12" s="74">
        <f ca="1">COUNTIFS('📈 Equities IPO''s'!$K$4:$K$79,"&gt;="&amp;B12,'📈 Equities IPO''s'!$K$4:$K$79,"&lt;"&amp;C12)</f>
        <v>24</v>
      </c>
      <c r="E12" s="81">
        <f ca="1">IFERROR(AVERAGEIFS('📈 Equities IPO''s'!$L$4:$L$79,'📈 Equities IPO''s'!$K$4:$K$79,"&gt;="&amp;B12,'📈 Equities IPO''s'!$K$4:$K$79,"&lt;"&amp;C12),"")</f>
        <v>0.12686890548902177</v>
      </c>
      <c r="F12" s="78" cm="1">
        <f t="array" aca="1" ref="F12" ca="1">IFERROR(IF(D12&gt;0,_xlfn.AGGREGATE(17,6,'📈 Equities IPO''s'!$L$4:$L$79/(('📈 Equities IPO''s'!$K$4:$K$79&gt;=B12)*('📈 Equities IPO''s'!$K$4:$K$79&lt;C12)),2),""),"")</f>
        <v>6.6259463335386237E-2</v>
      </c>
      <c r="G12" s="79">
        <f ca="1">IFERROR(_xlfn.MINIFS('📈 Equities IPO''s'!$L$4:$L$79,'📈 Equities IPO''s'!$K$4:$K$79,"&gt;="&amp;B12,'📈 Equities IPO''s'!$K$4:$K$79,"&lt;"&amp;C12),"")</f>
        <v>-9.8469780206693613E-2</v>
      </c>
      <c r="H12" s="79">
        <f ca="1">IFERROR(_xlfn.MAXIFS('📈 Equities IPO''s'!$L$4:$L$79,'📈 Equities IPO''s'!$K$4:$K$79,"&gt;="&amp;B12,'📈 Equities IPO''s'!$K$4:$K$79,"&lt;"&amp;C12),"")</f>
        <v>0.48541511577402807</v>
      </c>
    </row>
    <row r="13" spans="1:15" x14ac:dyDescent="0.2">
      <c r="A13" s="49" t="s">
        <v>676</v>
      </c>
      <c r="B13" s="49">
        <v>3</v>
      </c>
      <c r="C13" s="49">
        <v>3.5</v>
      </c>
      <c r="D13" s="77">
        <f ca="1">COUNTIFS('📈 Equities IPO''s'!$K$4:$K$79,"&gt;="&amp;B13,'📈 Equities IPO''s'!$K$4:$K$79,"&lt;"&amp;C13)</f>
        <v>18</v>
      </c>
      <c r="E13" s="82">
        <f ca="1">IFERROR(AVERAGEIFS('📈 Equities IPO''s'!$L$4:$L$79,'📈 Equities IPO''s'!$K$4:$K$79,"&gt;="&amp;B13,'📈 Equities IPO''s'!$K$4:$K$79,"&lt;"&amp;C13),"")</f>
        <v>0.25029701675539795</v>
      </c>
      <c r="F13" s="83" cm="1">
        <f t="array" aca="1" ref="F13" ca="1">IFERROR(IF(D13&gt;0,_xlfn.AGGREGATE(17,6,'📈 Equities IPO''s'!$L$4:$L$79/(('📈 Equities IPO''s'!$K$4:$K$79&gt;=B13)*('📈 Equities IPO''s'!$K$4:$K$79&lt;C13)),2),""),"")</f>
        <v>0.14524493030219887</v>
      </c>
      <c r="G13" s="84">
        <f ca="1">IFERROR(_xlfn.MINIFS('📈 Equities IPO''s'!$L$4:$L$79,'📈 Equities IPO''s'!$K$4:$K$79,"&gt;="&amp;B13,'📈 Equities IPO''s'!$K$4:$K$79,"&lt;"&amp;C13),"")</f>
        <v>1.6503286191682287E-2</v>
      </c>
      <c r="H13" s="84">
        <f ca="1">IFERROR(_xlfn.MAXIFS('📈 Equities IPO''s'!$L$4:$L$79,'📈 Equities IPO''s'!$K$4:$K$79,"&gt;="&amp;B13,'📈 Equities IPO''s'!$K$4:$K$79,"&lt;"&amp;C13),"")</f>
        <v>1.3856936898232748</v>
      </c>
    </row>
    <row r="14" spans="1:15" x14ac:dyDescent="0.2">
      <c r="A14" t="s">
        <v>677</v>
      </c>
      <c r="B14">
        <v>3.5</v>
      </c>
      <c r="C14">
        <v>99</v>
      </c>
      <c r="D14" s="74">
        <f ca="1">COUNTIFS('📈 Equities IPO''s'!$K$4:$K$79,"&gt;="&amp;B14,'📈 Equities IPO''s'!$K$4:$K$79,"&lt;"&amp;C14)</f>
        <v>2</v>
      </c>
      <c r="E14" s="81">
        <f ca="1">IFERROR(AVERAGEIFS('📈 Equities IPO''s'!$L$4:$L$79,'📈 Equities IPO''s'!$K$4:$K$79,"&gt;="&amp;B14,'📈 Equities IPO''s'!$K$4:$K$79,"&lt;"&amp;C14),"")</f>
        <v>0.18241506382382544</v>
      </c>
      <c r="F14" s="78" cm="1">
        <f t="array" aca="1" ref="F14" ca="1">IFERROR(IF(D14&gt;0,_xlfn.AGGREGATE(17,6,'📈 Equities IPO''s'!$L$4:$L$79/(('📈 Equities IPO''s'!$K$4:$K$79&gt;=B14)*('📈 Equities IPO''s'!$K$4:$K$79&lt;C14)),2),""),"")</f>
        <v>0.18241506382382544</v>
      </c>
      <c r="G14" s="79">
        <f ca="1">IFERROR(_xlfn.MINIFS('📈 Equities IPO''s'!$L$4:$L$79,'📈 Equities IPO''s'!$K$4:$K$79,"&gt;="&amp;B14,'📈 Equities IPO''s'!$K$4:$K$79,"&lt;"&amp;C14),"")</f>
        <v>8.7661318549127287E-2</v>
      </c>
      <c r="H14" s="79">
        <f ca="1">IFERROR(_xlfn.MAXIFS('📈 Equities IPO''s'!$L$4:$L$79,'📈 Equities IPO''s'!$K$4:$K$79,"&gt;="&amp;B14,'📈 Equities IPO''s'!$K$4:$K$79,"&lt;"&amp;C14),"")</f>
        <v>0.27716880909852359</v>
      </c>
    </row>
    <row r="16" spans="1:15" x14ac:dyDescent="0.2">
      <c r="A16" s="85" t="s">
        <v>678</v>
      </c>
      <c r="B16" s="86"/>
      <c r="C16" s="86"/>
      <c r="D16" s="86"/>
      <c r="E16" s="86"/>
      <c r="F16" s="86"/>
      <c r="G16" s="86"/>
      <c r="H16" s="86"/>
    </row>
    <row r="18" spans="1:4" ht="16" x14ac:dyDescent="0.2">
      <c r="A18" s="70" t="s">
        <v>679</v>
      </c>
      <c r="B18" s="71"/>
      <c r="C18" s="71"/>
      <c r="D18" s="71"/>
    </row>
    <row r="20" spans="1:4" x14ac:dyDescent="0.2">
      <c r="A20" s="72" t="s">
        <v>680</v>
      </c>
      <c r="B20" s="87" t="s">
        <v>681</v>
      </c>
      <c r="C20" s="72" t="s">
        <v>682</v>
      </c>
    </row>
    <row r="21" spans="1:4" x14ac:dyDescent="0.2">
      <c r="A21" t="s">
        <v>683</v>
      </c>
      <c r="B21" s="75">
        <f ca="1">COUNTIFS('📈 Equities IPO''s'!$K$4:$K$79,"&gt;=1")</f>
        <v>59</v>
      </c>
      <c r="C21" t="s">
        <v>684</v>
      </c>
    </row>
    <row r="22" spans="1:4" x14ac:dyDescent="0.2">
      <c r="A22" t="s">
        <v>685</v>
      </c>
      <c r="B22" s="76">
        <f ca="1">AVERAGEIFS('📈 Equities IPO''s'!$L$4:$L$79,'📈 Equities IPO''s'!$K$4:$K$79,"&gt;=1")</f>
        <v>0.30859313232996127</v>
      </c>
      <c r="C22" t="s">
        <v>686</v>
      </c>
    </row>
    <row r="23" spans="1:4" x14ac:dyDescent="0.2">
      <c r="A23" t="s">
        <v>667</v>
      </c>
      <c r="B23" s="76" cm="1">
        <f t="array" aca="1" ref="B23" ca="1">_xlfn.AGGREGATE(17,6,'📈 Equities IPO''s'!$L$4:$L$79/('📈 Equities IPO''s'!$K$4:$K$79&gt;=1),2)</f>
        <v>0.15149570943023893</v>
      </c>
      <c r="C23" t="s">
        <v>687</v>
      </c>
    </row>
    <row r="24" spans="1:4" x14ac:dyDescent="0.2">
      <c r="A24" t="s">
        <v>688</v>
      </c>
      <c r="B24" s="76" cm="1">
        <f t="array" aca="1" ref="B24" ca="1">_xlfn.STDEV.S(IF('📈 Equities IPO''s'!$K$4:$K$79&gt;=1,'📈 Equities IPO''s'!$L$4:$L$79))</f>
        <v>0.5671876823838734</v>
      </c>
      <c r="C24" t="s">
        <v>689</v>
      </c>
    </row>
    <row r="25" spans="1:4" x14ac:dyDescent="0.2">
      <c r="A25" t="s">
        <v>690</v>
      </c>
      <c r="B25" s="88" cm="1">
        <f t="array" aca="1" ref="B25" ca="1">CORREL(IF('📈 Equities IPO''s'!$K$4:$K$79&gt;=1,'📈 Equities IPO''s'!$K$4:$K$79),IF('📈 Equities IPO''s'!$K$4:$K$79&gt;=1,'📈 Equities IPO''s'!$L$4:$L$79))</f>
        <v>-0.60880815490936135</v>
      </c>
      <c r="C25" t="s">
        <v>691</v>
      </c>
    </row>
    <row r="26" spans="1:4" x14ac:dyDescent="0.2">
      <c r="A26" t="s">
        <v>692</v>
      </c>
      <c r="B26" s="89" cm="1">
        <f t="array" ref="B26">SUMPRODUCT(--('📈 Equities IPO''s'!$G$4:$G$79&lt;'📈 Equities IPO''s'!$F$4:$F$79))/COUNTA('📈 Equities IPO''s'!$B$4:$B$79)</f>
        <v>0.15789473684210525</v>
      </c>
      <c r="C26" t="s">
        <v>693</v>
      </c>
    </row>
    <row r="27" spans="1:4" x14ac:dyDescent="0.2">
      <c r="A27" t="s">
        <v>694</v>
      </c>
      <c r="B27" s="90">
        <f ca="1">_xlfn.AGGREGATE(17,6,'📈 Equities IPO''s'!$K$4:$K$79,2)</f>
        <v>2.6146475017111568</v>
      </c>
      <c r="C27" t="s">
        <v>695</v>
      </c>
    </row>
    <row r="29" spans="1:4" ht="16" x14ac:dyDescent="0.2">
      <c r="A29" s="70" t="s">
        <v>696</v>
      </c>
      <c r="B29" s="71"/>
      <c r="C29" s="71"/>
      <c r="D29" s="71"/>
    </row>
    <row r="31" spans="1:4" x14ac:dyDescent="0.2">
      <c r="A31" s="66" t="s">
        <v>697</v>
      </c>
      <c r="B31" s="91" t="str">
        <f ca="1">INDEX(A9:A14,MATCH(MAX(F9:F14),F9:F14,0))</f>
        <v>1 – 1.5 yrs</v>
      </c>
      <c r="C31" s="75" t="s">
        <v>698</v>
      </c>
      <c r="D31" s="92">
        <f ca="1">MAX(F9:F14)</f>
        <v>1.9815761834517502</v>
      </c>
    </row>
    <row r="32" spans="1:4" x14ac:dyDescent="0.2">
      <c r="A32" s="66" t="s">
        <v>699</v>
      </c>
      <c r="B32" s="93" t="str">
        <f ca="1">INDEX(A9:A14,MATCH(MIN(F9:F14),F9:F14,0))</f>
        <v>1.5 – 2 yrs</v>
      </c>
      <c r="C32" s="75" t="s">
        <v>698</v>
      </c>
      <c r="D32" s="94">
        <f ca="1">MIN(F9:F14)</f>
        <v>-0.17178259652257544</v>
      </c>
    </row>
    <row r="33" spans="1:8" x14ac:dyDescent="0.2">
      <c r="A33" s="66" t="s">
        <v>700</v>
      </c>
      <c r="B33" s="96">
        <f ca="1">D31-D32</f>
        <v>2.1533587799743259</v>
      </c>
    </row>
    <row r="35" spans="1:8" ht="16" x14ac:dyDescent="0.2">
      <c r="A35" s="70" t="s">
        <v>701</v>
      </c>
      <c r="B35" s="71"/>
      <c r="C35" s="71"/>
      <c r="D35" s="71"/>
      <c r="E35" s="71"/>
      <c r="F35" s="71"/>
      <c r="G35" s="71"/>
      <c r="H35" s="71"/>
    </row>
    <row r="37" spans="1:8" ht="42" customHeight="1" x14ac:dyDescent="0.2">
      <c r="A37" s="97">
        <v>1</v>
      </c>
      <c r="B37" s="112" t="s">
        <v>702</v>
      </c>
      <c r="C37" s="112"/>
      <c r="D37" s="112"/>
      <c r="E37" s="112"/>
      <c r="F37" s="112"/>
      <c r="G37" s="112"/>
      <c r="H37" s="112"/>
    </row>
    <row r="38" spans="1:8" ht="42" customHeight="1" x14ac:dyDescent="0.2">
      <c r="A38" s="97">
        <v>2</v>
      </c>
      <c r="B38" s="112" t="s">
        <v>703</v>
      </c>
      <c r="C38" s="112"/>
      <c r="D38" s="112"/>
      <c r="E38" s="112"/>
      <c r="F38" s="112"/>
      <c r="G38" s="112"/>
      <c r="H38" s="112"/>
    </row>
    <row r="39" spans="1:8" ht="42" customHeight="1" x14ac:dyDescent="0.2">
      <c r="A39" s="97">
        <v>3</v>
      </c>
      <c r="B39" s="112" t="s">
        <v>704</v>
      </c>
      <c r="C39" s="112"/>
      <c r="D39" s="112"/>
      <c r="E39" s="112"/>
      <c r="F39" s="112"/>
      <c r="G39" s="112"/>
      <c r="H39" s="112"/>
    </row>
    <row r="40" spans="1:8" ht="42" customHeight="1" x14ac:dyDescent="0.2">
      <c r="A40" s="97">
        <v>4</v>
      </c>
      <c r="B40" s="112" t="s">
        <v>705</v>
      </c>
      <c r="C40" s="112"/>
      <c r="D40" s="112"/>
      <c r="E40" s="112"/>
      <c r="F40" s="112"/>
      <c r="G40" s="112"/>
      <c r="H40" s="112"/>
    </row>
    <row r="41" spans="1:8" ht="42" customHeight="1" x14ac:dyDescent="0.2">
      <c r="A41" s="97">
        <v>5</v>
      </c>
      <c r="B41" s="112" t="s">
        <v>706</v>
      </c>
      <c r="C41" s="112"/>
      <c r="D41" s="112"/>
      <c r="E41" s="112"/>
      <c r="F41" s="112"/>
      <c r="G41" s="112"/>
      <c r="H41" s="112"/>
    </row>
    <row r="64" spans="1:8" ht="16" x14ac:dyDescent="0.2">
      <c r="A64" s="98" t="s">
        <v>713</v>
      </c>
      <c r="B64" s="99"/>
      <c r="C64" s="99"/>
      <c r="D64" s="99"/>
      <c r="E64" s="99"/>
      <c r="F64" s="99"/>
      <c r="G64" s="99"/>
      <c r="H64" s="99"/>
    </row>
    <row r="66" spans="1:8" ht="38" customHeight="1" x14ac:dyDescent="0.2">
      <c r="A66" s="97" t="s">
        <v>714</v>
      </c>
      <c r="B66" s="114" t="s">
        <v>715</v>
      </c>
      <c r="C66" s="115"/>
      <c r="D66" s="115"/>
      <c r="E66" s="115"/>
      <c r="F66" s="115"/>
      <c r="G66" s="115"/>
      <c r="H66" s="115"/>
    </row>
    <row r="67" spans="1:8" ht="38" customHeight="1" x14ac:dyDescent="0.2">
      <c r="A67" s="100" t="s">
        <v>716</v>
      </c>
      <c r="B67" s="116" t="s">
        <v>717</v>
      </c>
      <c r="C67" s="117"/>
      <c r="D67" s="117"/>
      <c r="E67" s="117"/>
      <c r="F67" s="117"/>
      <c r="G67" s="117"/>
      <c r="H67" s="117"/>
    </row>
    <row r="69" spans="1:8" x14ac:dyDescent="0.2">
      <c r="A69" s="101" t="s">
        <v>718</v>
      </c>
      <c r="B69" s="102"/>
      <c r="C69" s="102"/>
      <c r="D69" s="102"/>
      <c r="E69" s="102"/>
      <c r="F69" s="102"/>
      <c r="G69" s="102"/>
      <c r="H69" s="102"/>
    </row>
    <row r="70" spans="1:8" ht="38" customHeight="1" x14ac:dyDescent="0.2">
      <c r="A70" s="103" t="s">
        <v>719</v>
      </c>
      <c r="B70" s="112" t="s">
        <v>720</v>
      </c>
      <c r="C70" s="113"/>
      <c r="D70" s="113"/>
      <c r="E70" s="113"/>
      <c r="F70" s="113"/>
      <c r="G70" s="113"/>
      <c r="H70" s="113"/>
    </row>
    <row r="71" spans="1:8" ht="38" customHeight="1" x14ac:dyDescent="0.2">
      <c r="A71" s="104" t="s">
        <v>721</v>
      </c>
      <c r="B71" s="112" t="s">
        <v>722</v>
      </c>
      <c r="C71" s="113"/>
      <c r="D71" s="113"/>
      <c r="E71" s="113"/>
      <c r="F71" s="113"/>
      <c r="G71" s="113"/>
      <c r="H71" s="113"/>
    </row>
    <row r="72" spans="1:8" ht="38" customHeight="1" x14ac:dyDescent="0.2">
      <c r="A72" s="100" t="s">
        <v>723</v>
      </c>
      <c r="B72" s="112" t="s">
        <v>724</v>
      </c>
      <c r="C72" s="113"/>
      <c r="D72" s="113"/>
      <c r="E72" s="113"/>
      <c r="F72" s="113"/>
      <c r="G72" s="113"/>
      <c r="H72" s="113"/>
    </row>
    <row r="74" spans="1:8" x14ac:dyDescent="0.2">
      <c r="A74" s="105" t="s">
        <v>725</v>
      </c>
      <c r="B74" s="86"/>
      <c r="C74" s="86"/>
      <c r="D74" s="86"/>
      <c r="E74" s="86"/>
      <c r="F74" s="86"/>
      <c r="G74" s="86"/>
      <c r="H74" s="86"/>
    </row>
    <row r="75" spans="1:8" ht="38" customHeight="1" x14ac:dyDescent="0.2">
      <c r="A75" s="66">
        <v>1</v>
      </c>
      <c r="B75" s="112" t="s">
        <v>726</v>
      </c>
      <c r="C75" s="113"/>
      <c r="D75" s="113"/>
      <c r="E75" s="113"/>
      <c r="F75" s="113"/>
      <c r="G75" s="113"/>
      <c r="H75" s="113"/>
    </row>
    <row r="76" spans="1:8" ht="38" customHeight="1" x14ac:dyDescent="0.2">
      <c r="A76" s="66">
        <v>2</v>
      </c>
      <c r="B76" s="112" t="s">
        <v>727</v>
      </c>
      <c r="C76" s="113"/>
      <c r="D76" s="113"/>
      <c r="E76" s="113"/>
      <c r="F76" s="113"/>
      <c r="G76" s="113"/>
      <c r="H76" s="113"/>
    </row>
    <row r="77" spans="1:8" ht="38" customHeight="1" x14ac:dyDescent="0.2">
      <c r="A77" s="66">
        <v>3</v>
      </c>
      <c r="B77" s="112" t="s">
        <v>728</v>
      </c>
      <c r="C77" s="113"/>
      <c r="D77" s="113"/>
      <c r="E77" s="113"/>
      <c r="F77" s="113"/>
      <c r="G77" s="113"/>
      <c r="H77" s="113"/>
    </row>
  </sheetData>
  <mergeCells count="15">
    <mergeCell ref="B40:H40"/>
    <mergeCell ref="A1:H1"/>
    <mergeCell ref="A2:H2"/>
    <mergeCell ref="B37:H37"/>
    <mergeCell ref="B38:H38"/>
    <mergeCell ref="B39:H39"/>
    <mergeCell ref="B75:H75"/>
    <mergeCell ref="B76:H76"/>
    <mergeCell ref="B77:H77"/>
    <mergeCell ref="B41:H41"/>
    <mergeCell ref="B66:H66"/>
    <mergeCell ref="B67:H67"/>
    <mergeCell ref="B70:H70"/>
    <mergeCell ref="B71:H71"/>
    <mergeCell ref="B72:H72"/>
  </mergeCells>
  <conditionalFormatting sqref="E8:F14">
    <cfRule type="expression" dxfId="3" priority="1">
      <formula>MOD(ROW(),2)=0</formula>
    </cfRule>
    <cfRule type="expression" dxfId="2" priority="2">
      <formula>MOD(ROW(),2)=1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zoomScale="150" zoomScaleNormal="150" workbookViewId="0">
      <pane ySplit="3" topLeftCell="A4" activePane="bottomLeft" state="frozen"/>
      <selection pane="bottomLeft" activeCell="C21" sqref="C21"/>
    </sheetView>
  </sheetViews>
  <sheetFormatPr baseColWidth="10" defaultColWidth="8.6640625" defaultRowHeight="15" x14ac:dyDescent="0.2"/>
  <cols>
    <col min="1" max="1" width="5" customWidth="1"/>
    <col min="2" max="2" width="9" customWidth="1"/>
    <col min="3" max="3" width="28" customWidth="1"/>
    <col min="4" max="4" width="13" customWidth="1"/>
    <col min="5" max="5" width="12" customWidth="1"/>
    <col min="6" max="7" width="14" customWidth="1"/>
    <col min="8" max="9" width="10" customWidth="1"/>
    <col min="10" max="10" width="17" customWidth="1"/>
  </cols>
  <sheetData>
    <row r="1" spans="1:10" ht="33.75" customHeight="1" x14ac:dyDescent="0.2">
      <c r="A1" s="120" t="s">
        <v>399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0" ht="18" customHeight="1" x14ac:dyDescent="0.2">
      <c r="A2" s="121" t="s">
        <v>400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0" ht="30" customHeight="1" x14ac:dyDescent="0.2">
      <c r="A3" s="13" t="s">
        <v>2</v>
      </c>
      <c r="B3" s="13" t="s">
        <v>3</v>
      </c>
      <c r="C3" s="13" t="s">
        <v>401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</row>
    <row r="4" spans="1:10" ht="16.5" customHeight="1" x14ac:dyDescent="0.2">
      <c r="A4" s="14">
        <v>1</v>
      </c>
      <c r="B4" s="15" t="s">
        <v>402</v>
      </c>
      <c r="C4" s="16" t="s">
        <v>403</v>
      </c>
      <c r="D4" s="17" t="s">
        <v>404</v>
      </c>
      <c r="E4" s="17" t="s">
        <v>14</v>
      </c>
      <c r="F4" s="18">
        <v>9</v>
      </c>
      <c r="G4" s="7">
        <v>10.8</v>
      </c>
      <c r="H4" s="8" t="s">
        <v>405</v>
      </c>
      <c r="I4" s="8" t="s">
        <v>406</v>
      </c>
      <c r="J4" s="9">
        <v>364444.44</v>
      </c>
    </row>
    <row r="5" spans="1:10" ht="16.5" customHeight="1" x14ac:dyDescent="0.2">
      <c r="A5" s="19">
        <v>2</v>
      </c>
      <c r="B5" s="20" t="s">
        <v>407</v>
      </c>
      <c r="C5" s="21" t="s">
        <v>408</v>
      </c>
      <c r="D5" s="22" t="s">
        <v>409</v>
      </c>
      <c r="E5" s="22" t="s">
        <v>68</v>
      </c>
      <c r="F5" s="23">
        <v>10</v>
      </c>
      <c r="G5" s="7">
        <v>10.15</v>
      </c>
      <c r="H5" s="8" t="s">
        <v>410</v>
      </c>
      <c r="I5" s="8" t="s">
        <v>411</v>
      </c>
      <c r="J5" s="9">
        <v>359400</v>
      </c>
    </row>
    <row r="6" spans="1:10" ht="16.5" customHeight="1" x14ac:dyDescent="0.2">
      <c r="A6" s="14">
        <v>3</v>
      </c>
      <c r="B6" s="15" t="s">
        <v>412</v>
      </c>
      <c r="C6" s="16" t="s">
        <v>413</v>
      </c>
      <c r="D6" s="17" t="s">
        <v>414</v>
      </c>
      <c r="E6" s="17" t="s">
        <v>68</v>
      </c>
      <c r="F6" s="18">
        <v>10</v>
      </c>
      <c r="G6" s="7">
        <v>10.98</v>
      </c>
      <c r="H6" s="8" t="s">
        <v>415</v>
      </c>
      <c r="I6" s="8" t="s">
        <v>416</v>
      </c>
      <c r="J6" s="9">
        <v>359800</v>
      </c>
    </row>
    <row r="7" spans="1:10" ht="16.5" customHeight="1" x14ac:dyDescent="0.2">
      <c r="A7" s="19">
        <v>4</v>
      </c>
      <c r="B7" s="20" t="s">
        <v>417</v>
      </c>
      <c r="C7" s="21" t="s">
        <v>418</v>
      </c>
      <c r="D7" s="22" t="s">
        <v>419</v>
      </c>
      <c r="E7" s="22" t="s">
        <v>111</v>
      </c>
      <c r="F7" s="23">
        <v>10</v>
      </c>
      <c r="G7" s="7">
        <v>10</v>
      </c>
      <c r="H7" s="8" t="s">
        <v>420</v>
      </c>
      <c r="I7" s="8" t="s">
        <v>421</v>
      </c>
      <c r="J7" s="9">
        <v>280000</v>
      </c>
    </row>
    <row r="8" spans="1:10" ht="16.5" customHeight="1" x14ac:dyDescent="0.2">
      <c r="A8" s="14">
        <v>5</v>
      </c>
      <c r="B8" s="15" t="s">
        <v>422</v>
      </c>
      <c r="C8" s="16" t="s">
        <v>423</v>
      </c>
      <c r="D8" s="17" t="s">
        <v>424</v>
      </c>
      <c r="E8" s="17" t="s">
        <v>111</v>
      </c>
      <c r="F8" s="18">
        <v>9</v>
      </c>
      <c r="G8" s="7">
        <v>9.57</v>
      </c>
      <c r="H8" s="8" t="s">
        <v>425</v>
      </c>
      <c r="I8" s="8" t="s">
        <v>426</v>
      </c>
      <c r="J8" s="9">
        <v>288000</v>
      </c>
    </row>
    <row r="9" spans="1:10" ht="16.5" customHeight="1" x14ac:dyDescent="0.2">
      <c r="A9" s="19">
        <v>6</v>
      </c>
      <c r="B9" s="20" t="s">
        <v>427</v>
      </c>
      <c r="C9" s="21" t="s">
        <v>428</v>
      </c>
      <c r="D9" s="22" t="s">
        <v>141</v>
      </c>
      <c r="E9" s="22" t="s">
        <v>137</v>
      </c>
      <c r="F9" s="23">
        <v>9.81</v>
      </c>
      <c r="G9" s="7">
        <v>12.97</v>
      </c>
      <c r="H9" s="8" t="s">
        <v>429</v>
      </c>
      <c r="I9" s="8" t="s">
        <v>430</v>
      </c>
      <c r="J9" s="9">
        <v>320795.11</v>
      </c>
    </row>
    <row r="10" spans="1:10" ht="16.5" customHeight="1" x14ac:dyDescent="0.2">
      <c r="A10" s="14">
        <v>7</v>
      </c>
      <c r="B10" s="15" t="s">
        <v>431</v>
      </c>
      <c r="C10" s="16" t="s">
        <v>432</v>
      </c>
      <c r="D10" s="17" t="s">
        <v>433</v>
      </c>
      <c r="E10" s="17" t="s">
        <v>161</v>
      </c>
      <c r="F10" s="18">
        <v>9.85</v>
      </c>
      <c r="G10" s="7">
        <v>10.199999999999999</v>
      </c>
      <c r="H10" s="8" t="s">
        <v>434</v>
      </c>
      <c r="I10" s="8" t="s">
        <v>435</v>
      </c>
      <c r="J10" s="9">
        <v>324263.96000000002</v>
      </c>
    </row>
    <row r="11" spans="1:10" ht="16.5" customHeight="1" x14ac:dyDescent="0.2">
      <c r="A11" s="19">
        <v>8</v>
      </c>
      <c r="B11" s="20" t="s">
        <v>436</v>
      </c>
      <c r="C11" s="21" t="s">
        <v>437</v>
      </c>
      <c r="D11" s="22" t="s">
        <v>438</v>
      </c>
      <c r="E11" s="22" t="s">
        <v>181</v>
      </c>
      <c r="F11" s="23">
        <v>9.81</v>
      </c>
      <c r="G11" s="7">
        <v>10.06</v>
      </c>
      <c r="H11" s="8" t="s">
        <v>439</v>
      </c>
      <c r="I11" s="8" t="s">
        <v>440</v>
      </c>
      <c r="J11" s="9">
        <v>334454.64</v>
      </c>
    </row>
    <row r="12" spans="1:10" ht="16.5" customHeight="1" x14ac:dyDescent="0.2">
      <c r="A12" s="14">
        <v>9</v>
      </c>
      <c r="B12" s="15" t="s">
        <v>441</v>
      </c>
      <c r="C12" s="16" t="s">
        <v>442</v>
      </c>
      <c r="D12" s="17" t="s">
        <v>196</v>
      </c>
      <c r="E12" s="17" t="s">
        <v>192</v>
      </c>
      <c r="F12" s="18">
        <v>10</v>
      </c>
      <c r="G12" s="7">
        <v>9.51</v>
      </c>
      <c r="H12" s="8" t="s">
        <v>443</v>
      </c>
      <c r="I12" s="8" t="s">
        <v>444</v>
      </c>
      <c r="J12" s="9">
        <v>290100</v>
      </c>
    </row>
    <row r="13" spans="1:10" ht="16.5" customHeight="1" x14ac:dyDescent="0.2">
      <c r="A13" s="19">
        <v>10</v>
      </c>
      <c r="B13" s="20" t="s">
        <v>445</v>
      </c>
      <c r="C13" s="21" t="s">
        <v>446</v>
      </c>
      <c r="D13" s="22" t="s">
        <v>447</v>
      </c>
      <c r="E13" s="22" t="s">
        <v>265</v>
      </c>
      <c r="F13" s="23">
        <v>8.42</v>
      </c>
      <c r="G13" s="7">
        <v>10.42</v>
      </c>
      <c r="H13" s="8" t="s">
        <v>448</v>
      </c>
      <c r="I13" s="8" t="s">
        <v>449</v>
      </c>
      <c r="J13" s="9">
        <v>408788.6</v>
      </c>
    </row>
    <row r="14" spans="1:10" ht="16.5" customHeight="1" x14ac:dyDescent="0.2">
      <c r="A14" s="14">
        <v>11</v>
      </c>
      <c r="B14" s="15" t="s">
        <v>450</v>
      </c>
      <c r="C14" s="16" t="s">
        <v>451</v>
      </c>
      <c r="D14" s="17" t="s">
        <v>452</v>
      </c>
      <c r="E14" s="17" t="s">
        <v>265</v>
      </c>
      <c r="F14" s="18">
        <v>10</v>
      </c>
      <c r="G14" s="7">
        <v>11.37</v>
      </c>
      <c r="H14" s="8" t="s">
        <v>453</v>
      </c>
      <c r="I14" s="8" t="s">
        <v>454</v>
      </c>
      <c r="J14" s="9">
        <v>335300</v>
      </c>
    </row>
    <row r="15" spans="1:10" ht="16.5" customHeight="1" x14ac:dyDescent="0.2">
      <c r="A15" s="19">
        <v>12</v>
      </c>
      <c r="B15" s="20" t="s">
        <v>455</v>
      </c>
      <c r="C15" s="21" t="s">
        <v>456</v>
      </c>
      <c r="D15" s="22" t="s">
        <v>457</v>
      </c>
      <c r="E15" s="22" t="s">
        <v>458</v>
      </c>
      <c r="F15" s="23">
        <v>9</v>
      </c>
      <c r="G15" s="7">
        <v>9.52</v>
      </c>
      <c r="H15" s="8" t="s">
        <v>459</v>
      </c>
      <c r="I15" s="8" t="s">
        <v>460</v>
      </c>
      <c r="J15" s="9">
        <v>105777.78</v>
      </c>
    </row>
    <row r="16" spans="1:10" ht="16.5" customHeight="1" x14ac:dyDescent="0.2">
      <c r="A16" s="14">
        <v>13</v>
      </c>
      <c r="B16" s="15" t="s">
        <v>461</v>
      </c>
      <c r="C16" s="16" t="s">
        <v>462</v>
      </c>
      <c r="D16" s="17" t="s">
        <v>463</v>
      </c>
      <c r="E16" s="17" t="s">
        <v>276</v>
      </c>
      <c r="F16" s="18">
        <v>10</v>
      </c>
      <c r="G16" s="7">
        <v>9.3000000000000007</v>
      </c>
      <c r="H16" s="8" t="s">
        <v>464</v>
      </c>
      <c r="I16" s="8" t="s">
        <v>257</v>
      </c>
      <c r="J16" s="9">
        <v>183000</v>
      </c>
    </row>
    <row r="17" spans="1:10" ht="16.5" customHeight="1" x14ac:dyDescent="0.2">
      <c r="A17" s="19">
        <v>14</v>
      </c>
      <c r="B17" s="20" t="s">
        <v>465</v>
      </c>
      <c r="C17" s="21" t="s">
        <v>466</v>
      </c>
      <c r="D17" s="22" t="s">
        <v>467</v>
      </c>
      <c r="E17" s="22" t="s">
        <v>468</v>
      </c>
      <c r="F17" s="23">
        <v>9</v>
      </c>
      <c r="G17" s="7">
        <v>9.49</v>
      </c>
      <c r="H17" s="8" t="s">
        <v>182</v>
      </c>
      <c r="I17" s="8" t="s">
        <v>138</v>
      </c>
      <c r="J17" s="9">
        <v>105444.44</v>
      </c>
    </row>
    <row r="18" spans="1:10" ht="16.5" customHeight="1" x14ac:dyDescent="0.2">
      <c r="A18" s="14">
        <v>15</v>
      </c>
      <c r="B18" s="15" t="s">
        <v>469</v>
      </c>
      <c r="C18" s="16" t="s">
        <v>470</v>
      </c>
      <c r="D18" s="17" t="s">
        <v>471</v>
      </c>
      <c r="E18" s="17" t="s">
        <v>472</v>
      </c>
      <c r="F18" s="18">
        <v>9.4499999999999993</v>
      </c>
      <c r="G18" s="7">
        <v>9.73</v>
      </c>
      <c r="H18" s="8" t="s">
        <v>473</v>
      </c>
      <c r="I18" s="8" t="s">
        <v>474</v>
      </c>
      <c r="J18" s="9">
        <v>143174.6</v>
      </c>
    </row>
    <row r="19" spans="1:10" ht="16.5" customHeight="1" x14ac:dyDescent="0.2">
      <c r="A19" s="19">
        <v>16</v>
      </c>
      <c r="B19" s="20" t="s">
        <v>475</v>
      </c>
      <c r="C19" s="21" t="s">
        <v>476</v>
      </c>
      <c r="D19" s="22" t="s">
        <v>477</v>
      </c>
      <c r="E19" s="22" t="s">
        <v>293</v>
      </c>
      <c r="F19" s="23">
        <v>9.23</v>
      </c>
      <c r="G19" s="7">
        <v>9.7200000000000006</v>
      </c>
      <c r="H19" s="8" t="s">
        <v>146</v>
      </c>
      <c r="I19" s="8" t="s">
        <v>478</v>
      </c>
      <c r="J19" s="9">
        <v>160563.38</v>
      </c>
    </row>
    <row r="20" spans="1:10" ht="16.5" customHeight="1" x14ac:dyDescent="0.2">
      <c r="A20" s="14">
        <v>17</v>
      </c>
      <c r="B20" s="15" t="s">
        <v>479</v>
      </c>
      <c r="C20" s="16" t="s">
        <v>480</v>
      </c>
      <c r="D20" s="17" t="s">
        <v>481</v>
      </c>
      <c r="E20" s="17" t="s">
        <v>299</v>
      </c>
      <c r="F20" s="18">
        <v>9.23</v>
      </c>
      <c r="G20" s="7">
        <v>9.6</v>
      </c>
      <c r="H20" s="8" t="s">
        <v>482</v>
      </c>
      <c r="I20" s="8" t="s">
        <v>483</v>
      </c>
      <c r="J20" s="9">
        <v>104008.67</v>
      </c>
    </row>
    <row r="21" spans="1:10" ht="16.5" customHeight="1" x14ac:dyDescent="0.2">
      <c r="A21" s="19">
        <v>18</v>
      </c>
      <c r="B21" s="20" t="s">
        <v>484</v>
      </c>
      <c r="C21" s="21" t="s">
        <v>485</v>
      </c>
      <c r="D21" s="22" t="s">
        <v>486</v>
      </c>
      <c r="E21" s="22" t="s">
        <v>487</v>
      </c>
      <c r="F21" s="23">
        <v>9.1</v>
      </c>
      <c r="G21" s="7">
        <v>10.130000000000001</v>
      </c>
      <c r="H21" s="8" t="s">
        <v>488</v>
      </c>
      <c r="I21" s="8" t="s">
        <v>489</v>
      </c>
      <c r="J21" s="9">
        <v>111318.68</v>
      </c>
    </row>
    <row r="22" spans="1:10" ht="16.5" customHeight="1" x14ac:dyDescent="0.2">
      <c r="A22" s="14">
        <v>19</v>
      </c>
      <c r="B22" s="15" t="s">
        <v>490</v>
      </c>
      <c r="C22" s="16" t="s">
        <v>491</v>
      </c>
      <c r="D22" s="17" t="s">
        <v>492</v>
      </c>
      <c r="E22" s="17" t="s">
        <v>342</v>
      </c>
      <c r="F22" s="18">
        <v>10</v>
      </c>
      <c r="G22" s="10">
        <v>9.3000000000000007</v>
      </c>
      <c r="H22" s="11" t="s">
        <v>493</v>
      </c>
      <c r="I22" s="11" t="s">
        <v>494</v>
      </c>
      <c r="J22" s="12">
        <v>93000</v>
      </c>
    </row>
    <row r="23" spans="1:10" ht="16.5" customHeight="1" x14ac:dyDescent="0.2">
      <c r="A23" s="19">
        <v>20</v>
      </c>
      <c r="B23" s="20" t="s">
        <v>495</v>
      </c>
      <c r="C23" s="21" t="s">
        <v>496</v>
      </c>
      <c r="D23" s="22" t="s">
        <v>497</v>
      </c>
      <c r="E23" s="22" t="s">
        <v>348</v>
      </c>
      <c r="F23" s="23">
        <v>9.6999999999999993</v>
      </c>
      <c r="G23" s="10">
        <v>9.1999999999999993</v>
      </c>
      <c r="H23" s="11" t="s">
        <v>277</v>
      </c>
      <c r="I23" s="11" t="s">
        <v>498</v>
      </c>
      <c r="J23" s="12">
        <v>94845.36</v>
      </c>
    </row>
    <row r="24" spans="1:10" ht="16.5" customHeight="1" x14ac:dyDescent="0.2">
      <c r="A24" s="14">
        <v>21</v>
      </c>
      <c r="B24" s="15" t="s">
        <v>499</v>
      </c>
      <c r="C24" s="16" t="s">
        <v>500</v>
      </c>
      <c r="D24" s="17" t="s">
        <v>501</v>
      </c>
      <c r="E24" s="17" t="s">
        <v>502</v>
      </c>
      <c r="F24" s="18">
        <v>9.43</v>
      </c>
      <c r="G24" s="10">
        <v>9.33</v>
      </c>
      <c r="H24" s="11" t="s">
        <v>247</v>
      </c>
      <c r="I24" s="11" t="s">
        <v>503</v>
      </c>
      <c r="J24" s="12">
        <v>98939.55</v>
      </c>
    </row>
    <row r="26" spans="1:10" ht="19.5" customHeight="1" x14ac:dyDescent="0.2">
      <c r="A26" s="122" t="s">
        <v>504</v>
      </c>
      <c r="B26" s="122"/>
      <c r="C26" s="122"/>
      <c r="D26" s="122"/>
      <c r="E26" s="122"/>
      <c r="F26" s="122"/>
      <c r="G26" s="122"/>
      <c r="H26" s="122"/>
      <c r="I26" s="122"/>
      <c r="J26" s="122"/>
    </row>
  </sheetData>
  <mergeCells count="3">
    <mergeCell ref="A1:J1"/>
    <mergeCell ref="A2:J2"/>
    <mergeCell ref="A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zoomScale="140" zoomScaleNormal="140" workbookViewId="0">
      <pane ySplit="3" topLeftCell="A4" activePane="bottomLeft" state="frozen"/>
      <selection pane="bottomLeft" activeCell="B22" sqref="B22"/>
    </sheetView>
  </sheetViews>
  <sheetFormatPr baseColWidth="10" defaultColWidth="8.6640625" defaultRowHeight="15" x14ac:dyDescent="0.2"/>
  <cols>
    <col min="1" max="1" width="5" customWidth="1"/>
    <col min="2" max="2" width="25.1640625" bestFit="1" customWidth="1"/>
    <col min="3" max="3" width="29.33203125" bestFit="1" customWidth="1"/>
    <col min="4" max="4" width="30" customWidth="1"/>
    <col min="5" max="5" width="13" customWidth="1"/>
    <col min="6" max="6" width="11" customWidth="1"/>
    <col min="7" max="8" width="14" customWidth="1"/>
    <col min="9" max="10" width="10" customWidth="1"/>
    <col min="11" max="11" width="17" customWidth="1"/>
  </cols>
  <sheetData>
    <row r="1" spans="1:12" ht="33.75" customHeight="1" x14ac:dyDescent="0.2">
      <c r="A1" s="123" t="s">
        <v>505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2" ht="18" customHeight="1" x14ac:dyDescent="0.2">
      <c r="A2" s="121" t="s">
        <v>506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2" ht="30" customHeight="1" x14ac:dyDescent="0.2">
      <c r="A3" s="24" t="s">
        <v>2</v>
      </c>
      <c r="B3" s="24" t="s">
        <v>3</v>
      </c>
      <c r="C3" s="24" t="s">
        <v>4</v>
      </c>
      <c r="D3" s="24" t="s">
        <v>507</v>
      </c>
      <c r="E3" s="24" t="s">
        <v>5</v>
      </c>
      <c r="F3" s="24" t="s">
        <v>508</v>
      </c>
      <c r="G3" s="24" t="s">
        <v>7</v>
      </c>
      <c r="H3" s="24" t="s">
        <v>8</v>
      </c>
      <c r="I3" s="24" t="s">
        <v>9</v>
      </c>
      <c r="J3" s="24" t="s">
        <v>10</v>
      </c>
      <c r="K3" s="24" t="s">
        <v>11</v>
      </c>
    </row>
    <row r="4" spans="1:12" ht="18" customHeight="1" x14ac:dyDescent="0.2">
      <c r="A4" s="25">
        <f>IF(B4&lt;&gt;"",ROW()-3,"")</f>
        <v>1</v>
      </c>
      <c r="B4" s="26" t="s">
        <v>509</v>
      </c>
      <c r="C4" s="27" t="s">
        <v>510</v>
      </c>
      <c r="D4" s="28" t="s">
        <v>511</v>
      </c>
      <c r="E4" s="29" t="s">
        <v>512</v>
      </c>
      <c r="F4" s="29" t="s">
        <v>25</v>
      </c>
      <c r="G4" s="30">
        <v>179.7</v>
      </c>
      <c r="H4" s="7">
        <v>1319</v>
      </c>
      <c r="I4" s="8" t="s">
        <v>513</v>
      </c>
      <c r="J4" s="8" t="s">
        <v>514</v>
      </c>
      <c r="K4" s="9">
        <v>734001.11</v>
      </c>
    </row>
    <row r="5" spans="1:12" ht="18" customHeight="1" x14ac:dyDescent="0.2">
      <c r="A5" s="25">
        <f t="shared" ref="A5:A15" si="0">IF(B5&lt;&gt;"",ROW()-3,"")</f>
        <v>2</v>
      </c>
      <c r="B5" s="31" t="s">
        <v>515</v>
      </c>
      <c r="C5" s="32" t="s">
        <v>516</v>
      </c>
      <c r="D5" s="33" t="s">
        <v>517</v>
      </c>
      <c r="E5" s="34" t="s">
        <v>518</v>
      </c>
      <c r="F5" s="34" t="s">
        <v>46</v>
      </c>
      <c r="G5" s="35">
        <v>404.2</v>
      </c>
      <c r="H5" s="7">
        <v>462</v>
      </c>
      <c r="I5" s="8" t="s">
        <v>519</v>
      </c>
      <c r="J5" s="8" t="s">
        <v>520</v>
      </c>
      <c r="K5" s="9">
        <v>129183.61</v>
      </c>
    </row>
    <row r="6" spans="1:12" ht="18" customHeight="1" x14ac:dyDescent="0.2">
      <c r="A6" s="25">
        <f t="shared" si="0"/>
        <v>3</v>
      </c>
      <c r="B6" s="26" t="s">
        <v>521</v>
      </c>
      <c r="C6" s="27" t="s">
        <v>522</v>
      </c>
      <c r="D6" s="28" t="s">
        <v>523</v>
      </c>
      <c r="E6" s="29" t="s">
        <v>524</v>
      </c>
      <c r="F6" s="29" t="s">
        <v>57</v>
      </c>
      <c r="G6" s="30">
        <v>216</v>
      </c>
      <c r="H6" s="10">
        <v>199.7</v>
      </c>
      <c r="I6" s="11" t="s">
        <v>525</v>
      </c>
      <c r="J6" s="11" t="s">
        <v>526</v>
      </c>
      <c r="K6" s="12">
        <v>92453.7</v>
      </c>
    </row>
    <row r="7" spans="1:12" ht="18" customHeight="1" x14ac:dyDescent="0.2">
      <c r="A7" s="25">
        <f t="shared" si="0"/>
        <v>4</v>
      </c>
      <c r="B7" s="31" t="s">
        <v>527</v>
      </c>
      <c r="C7" s="32" t="s">
        <v>528</v>
      </c>
      <c r="D7" s="33" t="s">
        <v>529</v>
      </c>
      <c r="E7" s="34" t="s">
        <v>530</v>
      </c>
      <c r="F7" s="34" t="s">
        <v>57</v>
      </c>
      <c r="G7" s="35">
        <v>989.4</v>
      </c>
      <c r="H7" s="7">
        <v>1460</v>
      </c>
      <c r="I7" s="8" t="s">
        <v>531</v>
      </c>
      <c r="J7" s="8" t="s">
        <v>532</v>
      </c>
      <c r="K7" s="9">
        <v>147564.18</v>
      </c>
    </row>
    <row r="8" spans="1:12" ht="18" customHeight="1" x14ac:dyDescent="0.2">
      <c r="A8" s="25">
        <f t="shared" si="0"/>
        <v>5</v>
      </c>
      <c r="B8" s="60" t="s">
        <v>279</v>
      </c>
      <c r="C8" s="61" t="s">
        <v>280</v>
      </c>
      <c r="D8" s="59"/>
      <c r="E8" s="106">
        <v>45517</v>
      </c>
      <c r="F8" s="62" t="s">
        <v>282</v>
      </c>
      <c r="G8" s="63">
        <v>1406.2</v>
      </c>
      <c r="H8" s="64">
        <v>900</v>
      </c>
      <c r="I8" s="64" t="s">
        <v>283</v>
      </c>
      <c r="J8" s="107">
        <v>-0.22700000000000001</v>
      </c>
      <c r="K8" s="68">
        <v>64002.28</v>
      </c>
      <c r="L8" s="69"/>
    </row>
    <row r="9" spans="1:12" ht="18" customHeight="1" x14ac:dyDescent="0.2">
      <c r="A9" s="25">
        <f t="shared" si="0"/>
        <v>6</v>
      </c>
      <c r="B9" s="26" t="s">
        <v>533</v>
      </c>
      <c r="C9" s="27" t="s">
        <v>534</v>
      </c>
      <c r="D9" s="28" t="s">
        <v>535</v>
      </c>
      <c r="E9" s="29" t="s">
        <v>536</v>
      </c>
      <c r="F9" s="29" t="s">
        <v>137</v>
      </c>
      <c r="G9" s="30">
        <v>122.2</v>
      </c>
      <c r="H9" s="7">
        <v>424</v>
      </c>
      <c r="I9" s="8" t="s">
        <v>537</v>
      </c>
      <c r="J9" s="8" t="s">
        <v>538</v>
      </c>
      <c r="K9" s="9">
        <v>624549.92000000004</v>
      </c>
    </row>
    <row r="10" spans="1:12" ht="18" customHeight="1" x14ac:dyDescent="0.2">
      <c r="A10" s="25">
        <f t="shared" si="0"/>
        <v>7</v>
      </c>
      <c r="B10" s="31" t="s">
        <v>539</v>
      </c>
      <c r="C10" s="32" t="s">
        <v>540</v>
      </c>
      <c r="D10" s="33" t="s">
        <v>541</v>
      </c>
      <c r="E10" s="34" t="s">
        <v>542</v>
      </c>
      <c r="F10" s="34" t="s">
        <v>137</v>
      </c>
      <c r="G10" s="35">
        <v>381.1</v>
      </c>
      <c r="H10" s="7">
        <v>339</v>
      </c>
      <c r="I10" s="8" t="s">
        <v>482</v>
      </c>
      <c r="J10" s="8" t="s">
        <v>543</v>
      </c>
      <c r="K10" s="9">
        <v>103799.53</v>
      </c>
    </row>
    <row r="11" spans="1:12" ht="18" customHeight="1" x14ac:dyDescent="0.2">
      <c r="A11" s="25">
        <f t="shared" si="0"/>
        <v>8</v>
      </c>
      <c r="B11" s="26" t="s">
        <v>544</v>
      </c>
      <c r="C11" s="27" t="s">
        <v>545</v>
      </c>
      <c r="D11" s="28" t="s">
        <v>546</v>
      </c>
      <c r="E11" s="29" t="s">
        <v>175</v>
      </c>
      <c r="F11" s="29" t="s">
        <v>161</v>
      </c>
      <c r="G11" s="30">
        <v>275.39999999999998</v>
      </c>
      <c r="H11" s="7">
        <v>392</v>
      </c>
      <c r="I11" s="8" t="s">
        <v>547</v>
      </c>
      <c r="J11" s="8" t="s">
        <v>548</v>
      </c>
      <c r="K11" s="9">
        <v>142338.42000000001</v>
      </c>
    </row>
    <row r="12" spans="1:12" ht="18" customHeight="1" x14ac:dyDescent="0.2">
      <c r="A12" s="25">
        <f t="shared" si="0"/>
        <v>9</v>
      </c>
      <c r="B12" s="31" t="s">
        <v>549</v>
      </c>
      <c r="C12" s="32" t="s">
        <v>550</v>
      </c>
      <c r="D12" s="33" t="s">
        <v>551</v>
      </c>
      <c r="E12" s="34" t="s">
        <v>180</v>
      </c>
      <c r="F12" s="34" t="s">
        <v>181</v>
      </c>
      <c r="G12" s="35">
        <v>278.89999999999998</v>
      </c>
      <c r="H12" s="7">
        <v>640</v>
      </c>
      <c r="I12" s="8" t="s">
        <v>552</v>
      </c>
      <c r="J12" s="8" t="s">
        <v>553</v>
      </c>
      <c r="K12" s="9">
        <v>229472.93</v>
      </c>
    </row>
    <row r="13" spans="1:12" ht="18" customHeight="1" x14ac:dyDescent="0.2">
      <c r="A13" s="25">
        <f t="shared" si="0"/>
        <v>10</v>
      </c>
      <c r="B13" s="26" t="s">
        <v>554</v>
      </c>
      <c r="C13" s="27" t="s">
        <v>555</v>
      </c>
      <c r="D13" s="28" t="s">
        <v>556</v>
      </c>
      <c r="E13" s="29" t="s">
        <v>180</v>
      </c>
      <c r="F13" s="29" t="s">
        <v>181</v>
      </c>
      <c r="G13" s="30">
        <v>280.5</v>
      </c>
      <c r="H13" s="7">
        <v>610</v>
      </c>
      <c r="I13" s="8" t="s">
        <v>166</v>
      </c>
      <c r="J13" s="8" t="s">
        <v>557</v>
      </c>
      <c r="K13" s="9">
        <v>217468.81</v>
      </c>
    </row>
    <row r="14" spans="1:12" ht="18" customHeight="1" x14ac:dyDescent="0.2">
      <c r="A14" s="25">
        <f t="shared" si="0"/>
        <v>11</v>
      </c>
      <c r="B14" s="31" t="s">
        <v>558</v>
      </c>
      <c r="C14" s="32" t="s">
        <v>559</v>
      </c>
      <c r="D14" s="33" t="s">
        <v>560</v>
      </c>
      <c r="E14" s="34" t="s">
        <v>561</v>
      </c>
      <c r="F14" s="34" t="s">
        <v>181</v>
      </c>
      <c r="G14" s="35">
        <v>181.2</v>
      </c>
      <c r="H14" s="7">
        <v>216.7</v>
      </c>
      <c r="I14" s="8" t="s">
        <v>531</v>
      </c>
      <c r="J14" s="8" t="s">
        <v>562</v>
      </c>
      <c r="K14" s="9">
        <v>148483.64000000001</v>
      </c>
    </row>
    <row r="15" spans="1:12" x14ac:dyDescent="0.2">
      <c r="A15" s="25">
        <f t="shared" si="0"/>
        <v>12</v>
      </c>
      <c r="B15" s="26" t="s">
        <v>563</v>
      </c>
      <c r="C15" s="27" t="s">
        <v>564</v>
      </c>
      <c r="D15" s="28" t="s">
        <v>565</v>
      </c>
      <c r="E15" s="29" t="s">
        <v>566</v>
      </c>
      <c r="F15" s="29" t="s">
        <v>242</v>
      </c>
      <c r="G15" s="30">
        <v>196.6</v>
      </c>
      <c r="H15" s="7">
        <v>1290</v>
      </c>
      <c r="I15" s="8" t="s">
        <v>567</v>
      </c>
      <c r="J15" s="8" t="s">
        <v>568</v>
      </c>
      <c r="K15" s="9">
        <v>708860.63</v>
      </c>
    </row>
    <row r="16" spans="1:12" ht="19.5" customHeight="1" x14ac:dyDescent="0.2"/>
    <row r="17" spans="1:11" x14ac:dyDescent="0.2">
      <c r="A17" s="124" t="s">
        <v>729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</row>
  </sheetData>
  <mergeCells count="3">
    <mergeCell ref="A1:K1"/>
    <mergeCell ref="A2:K2"/>
    <mergeCell ref="A17:K17"/>
  </mergeCells>
  <conditionalFormatting sqref="A8:F8">
    <cfRule type="expression" dxfId="1" priority="1">
      <formula>MOD(ROW(),2)=0</formula>
    </cfRule>
    <cfRule type="expression" dxfId="0" priority="2">
      <formula>MOD(ROW(),2)=1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="140" zoomScaleNormal="140" workbookViewId="0">
      <pane ySplit="3" topLeftCell="A4" activePane="bottomLeft" state="frozen"/>
      <selection pane="bottomLeft" sqref="A1:K1"/>
    </sheetView>
  </sheetViews>
  <sheetFormatPr baseColWidth="10" defaultColWidth="8.6640625" defaultRowHeight="15" x14ac:dyDescent="0.2"/>
  <cols>
    <col min="1" max="1" width="5" customWidth="1"/>
    <col min="2" max="2" width="10" customWidth="1"/>
    <col min="3" max="3" width="32" customWidth="1"/>
    <col min="4" max="4" width="28" customWidth="1"/>
    <col min="5" max="5" width="13" customWidth="1"/>
    <col min="6" max="6" width="12" customWidth="1"/>
    <col min="7" max="8" width="14" customWidth="1"/>
    <col min="9" max="10" width="10" customWidth="1"/>
    <col min="11" max="11" width="17" customWidth="1"/>
  </cols>
  <sheetData>
    <row r="1" spans="1:11" ht="33.75" customHeight="1" x14ac:dyDescent="0.2">
      <c r="A1" s="125" t="s">
        <v>569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8" customHeight="1" x14ac:dyDescent="0.2">
      <c r="A2" s="121" t="s">
        <v>570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 ht="30" customHeight="1" x14ac:dyDescent="0.2">
      <c r="A3" s="36" t="s">
        <v>2</v>
      </c>
      <c r="B3" s="36" t="s">
        <v>3</v>
      </c>
      <c r="C3" s="36" t="s">
        <v>571</v>
      </c>
      <c r="D3" s="36" t="s">
        <v>572</v>
      </c>
      <c r="E3" s="36" t="s">
        <v>5</v>
      </c>
      <c r="F3" s="36" t="s">
        <v>6</v>
      </c>
      <c r="G3" s="36" t="s">
        <v>573</v>
      </c>
      <c r="H3" s="36" t="s">
        <v>8</v>
      </c>
      <c r="I3" s="36" t="s">
        <v>9</v>
      </c>
      <c r="J3" s="36" t="s">
        <v>10</v>
      </c>
      <c r="K3" s="36" t="s">
        <v>11</v>
      </c>
    </row>
    <row r="4" spans="1:11" ht="16.5" customHeight="1" x14ac:dyDescent="0.2">
      <c r="A4" s="37">
        <v>1</v>
      </c>
      <c r="B4" s="38" t="s">
        <v>574</v>
      </c>
      <c r="C4" s="39" t="s">
        <v>575</v>
      </c>
      <c r="D4" s="40" t="s">
        <v>576</v>
      </c>
      <c r="E4" s="41" t="s">
        <v>13</v>
      </c>
      <c r="F4" s="41" t="s">
        <v>25</v>
      </c>
      <c r="G4" s="42">
        <v>1000</v>
      </c>
      <c r="H4" s="7">
        <v>1075</v>
      </c>
      <c r="I4" s="8" t="s">
        <v>577</v>
      </c>
      <c r="J4" s="8" t="s">
        <v>578</v>
      </c>
      <c r="K4" s="9">
        <v>107500</v>
      </c>
    </row>
    <row r="5" spans="1:11" ht="16.5" customHeight="1" x14ac:dyDescent="0.2">
      <c r="A5" s="43">
        <v>2</v>
      </c>
      <c r="B5" s="44" t="s">
        <v>579</v>
      </c>
      <c r="C5" s="45" t="s">
        <v>580</v>
      </c>
      <c r="D5" s="46" t="s">
        <v>581</v>
      </c>
      <c r="E5" s="47" t="s">
        <v>582</v>
      </c>
      <c r="F5" s="47" t="s">
        <v>31</v>
      </c>
      <c r="G5" s="48">
        <v>1000</v>
      </c>
      <c r="H5" s="7">
        <v>1107</v>
      </c>
      <c r="I5" s="8" t="s">
        <v>488</v>
      </c>
      <c r="J5" s="8" t="s">
        <v>583</v>
      </c>
      <c r="K5" s="9">
        <v>110700</v>
      </c>
    </row>
    <row r="6" spans="1:11" ht="16.5" customHeight="1" x14ac:dyDescent="0.2">
      <c r="A6" s="37">
        <v>3</v>
      </c>
      <c r="B6" s="38" t="s">
        <v>584</v>
      </c>
      <c r="C6" s="39" t="s">
        <v>585</v>
      </c>
      <c r="D6" s="40" t="s">
        <v>534</v>
      </c>
      <c r="E6" s="41" t="s">
        <v>586</v>
      </c>
      <c r="F6" s="41" t="s">
        <v>161</v>
      </c>
      <c r="G6" s="42">
        <v>1040</v>
      </c>
      <c r="H6" s="7">
        <v>1198</v>
      </c>
      <c r="I6" s="8" t="s">
        <v>587</v>
      </c>
      <c r="J6" s="8" t="s">
        <v>588</v>
      </c>
      <c r="K6" s="9">
        <v>115192.31</v>
      </c>
    </row>
    <row r="7" spans="1:11" ht="16.5" customHeight="1" x14ac:dyDescent="0.2">
      <c r="A7" s="43">
        <v>4</v>
      </c>
      <c r="B7" s="44" t="s">
        <v>589</v>
      </c>
      <c r="C7" s="45" t="s">
        <v>590</v>
      </c>
      <c r="D7" s="46" t="s">
        <v>591</v>
      </c>
      <c r="E7" s="47" t="s">
        <v>592</v>
      </c>
      <c r="F7" s="47" t="s">
        <v>242</v>
      </c>
      <c r="G7" s="48">
        <v>1000</v>
      </c>
      <c r="H7" s="7">
        <v>1148.4000000000001</v>
      </c>
      <c r="I7" s="8" t="s">
        <v>587</v>
      </c>
      <c r="J7" s="8" t="s">
        <v>593</v>
      </c>
      <c r="K7" s="9">
        <v>114840</v>
      </c>
    </row>
    <row r="8" spans="1:11" ht="16.5" customHeight="1" x14ac:dyDescent="0.2">
      <c r="A8" s="37">
        <v>5</v>
      </c>
      <c r="B8" s="38" t="s">
        <v>594</v>
      </c>
      <c r="C8" s="39" t="s">
        <v>595</v>
      </c>
      <c r="D8" s="40" t="s">
        <v>596</v>
      </c>
      <c r="E8" s="41" t="s">
        <v>597</v>
      </c>
      <c r="F8" s="41" t="s">
        <v>242</v>
      </c>
      <c r="G8" s="42">
        <v>950</v>
      </c>
      <c r="H8" s="7">
        <v>1037</v>
      </c>
      <c r="I8" s="8" t="s">
        <v>598</v>
      </c>
      <c r="J8" s="8" t="s">
        <v>483</v>
      </c>
      <c r="K8" s="9">
        <v>109157.89</v>
      </c>
    </row>
    <row r="9" spans="1:11" ht="16.5" customHeight="1" x14ac:dyDescent="0.2">
      <c r="A9" s="43">
        <v>6</v>
      </c>
      <c r="B9" s="44" t="s">
        <v>599</v>
      </c>
      <c r="C9" s="45" t="s">
        <v>600</v>
      </c>
      <c r="D9" s="46" t="s">
        <v>576</v>
      </c>
      <c r="E9" s="47" t="s">
        <v>601</v>
      </c>
      <c r="F9" s="47" t="s">
        <v>265</v>
      </c>
      <c r="G9" s="48">
        <v>1000</v>
      </c>
      <c r="H9" s="7">
        <v>1140</v>
      </c>
      <c r="I9" s="8" t="s">
        <v>36</v>
      </c>
      <c r="J9" s="8" t="s">
        <v>602</v>
      </c>
      <c r="K9" s="9">
        <v>114000</v>
      </c>
    </row>
    <row r="10" spans="1:11" ht="16.5" customHeight="1" x14ac:dyDescent="0.2">
      <c r="A10" s="37">
        <v>7</v>
      </c>
      <c r="B10" s="38" t="s">
        <v>603</v>
      </c>
      <c r="C10" s="39" t="s">
        <v>604</v>
      </c>
      <c r="D10" s="40" t="s">
        <v>605</v>
      </c>
      <c r="E10" s="41" t="s">
        <v>606</v>
      </c>
      <c r="F10" s="41" t="s">
        <v>276</v>
      </c>
      <c r="G10" s="42">
        <v>1061.2</v>
      </c>
      <c r="H10" s="7">
        <v>1250</v>
      </c>
      <c r="I10" s="8" t="s">
        <v>151</v>
      </c>
      <c r="J10" s="8" t="s">
        <v>607</v>
      </c>
      <c r="K10" s="9">
        <v>117791.18</v>
      </c>
    </row>
    <row r="11" spans="1:11" ht="16.5" customHeight="1" x14ac:dyDescent="0.2">
      <c r="A11" s="43">
        <v>8</v>
      </c>
      <c r="B11" s="44" t="s">
        <v>608</v>
      </c>
      <c r="C11" s="45" t="s">
        <v>609</v>
      </c>
      <c r="D11" s="46" t="s">
        <v>534</v>
      </c>
      <c r="E11" s="47" t="s">
        <v>610</v>
      </c>
      <c r="F11" s="47" t="s">
        <v>276</v>
      </c>
      <c r="G11" s="48">
        <v>1020</v>
      </c>
      <c r="H11" s="7">
        <v>1265</v>
      </c>
      <c r="I11" s="8" t="s">
        <v>611</v>
      </c>
      <c r="J11" s="8" t="s">
        <v>612</v>
      </c>
      <c r="K11" s="9">
        <v>124019.61</v>
      </c>
    </row>
    <row r="12" spans="1:11" ht="16.5" customHeight="1" x14ac:dyDescent="0.2">
      <c r="A12" s="37">
        <v>9</v>
      </c>
      <c r="B12" s="38" t="s">
        <v>613</v>
      </c>
      <c r="C12" s="39" t="s">
        <v>614</v>
      </c>
      <c r="D12" s="40" t="s">
        <v>615</v>
      </c>
      <c r="E12" s="41" t="s">
        <v>616</v>
      </c>
      <c r="F12" s="41" t="s">
        <v>282</v>
      </c>
      <c r="G12" s="42">
        <v>1020</v>
      </c>
      <c r="H12" s="7">
        <v>1204</v>
      </c>
      <c r="I12" s="8" t="s">
        <v>151</v>
      </c>
      <c r="J12" s="8" t="s">
        <v>617</v>
      </c>
      <c r="K12" s="9">
        <v>118039.22</v>
      </c>
    </row>
    <row r="13" spans="1:11" ht="16.5" customHeight="1" x14ac:dyDescent="0.2">
      <c r="A13" s="43">
        <v>10</v>
      </c>
      <c r="B13" s="44" t="s">
        <v>618</v>
      </c>
      <c r="C13" s="45" t="s">
        <v>619</v>
      </c>
      <c r="D13" s="46" t="s">
        <v>620</v>
      </c>
      <c r="E13" s="47" t="s">
        <v>621</v>
      </c>
      <c r="F13" s="47" t="s">
        <v>293</v>
      </c>
      <c r="G13" s="48">
        <v>1100</v>
      </c>
      <c r="H13" s="7">
        <v>1155</v>
      </c>
      <c r="I13" s="8" t="s">
        <v>182</v>
      </c>
      <c r="J13" s="8" t="s">
        <v>622</v>
      </c>
      <c r="K13" s="9">
        <v>105000</v>
      </c>
    </row>
    <row r="14" spans="1:11" ht="16.5" customHeight="1" x14ac:dyDescent="0.2">
      <c r="A14" s="37">
        <v>11</v>
      </c>
      <c r="B14" s="38" t="s">
        <v>623</v>
      </c>
      <c r="C14" s="39" t="s">
        <v>624</v>
      </c>
      <c r="D14" s="40" t="s">
        <v>625</v>
      </c>
      <c r="E14" s="41" t="s">
        <v>626</v>
      </c>
      <c r="F14" s="41" t="s">
        <v>487</v>
      </c>
      <c r="G14" s="42">
        <v>1025</v>
      </c>
      <c r="H14" s="7">
        <v>1062</v>
      </c>
      <c r="I14" s="8" t="s">
        <v>482</v>
      </c>
      <c r="J14" s="8" t="s">
        <v>483</v>
      </c>
      <c r="K14" s="9">
        <v>103609.76</v>
      </c>
    </row>
    <row r="15" spans="1:11" ht="16.5" customHeight="1" x14ac:dyDescent="0.2">
      <c r="A15" s="43">
        <v>12</v>
      </c>
      <c r="B15" s="44" t="s">
        <v>627</v>
      </c>
      <c r="C15" s="45" t="s">
        <v>628</v>
      </c>
      <c r="D15" s="46" t="s">
        <v>629</v>
      </c>
      <c r="E15" s="47" t="s">
        <v>630</v>
      </c>
      <c r="F15" s="47" t="s">
        <v>322</v>
      </c>
      <c r="G15" s="48">
        <v>1001</v>
      </c>
      <c r="H15" s="7">
        <v>1035.7</v>
      </c>
      <c r="I15" s="8" t="s">
        <v>631</v>
      </c>
      <c r="J15" s="8" t="s">
        <v>622</v>
      </c>
      <c r="K15" s="9">
        <v>103466.53</v>
      </c>
    </row>
    <row r="16" spans="1:11" ht="16.5" customHeight="1" x14ac:dyDescent="0.2">
      <c r="A16" s="37">
        <v>13</v>
      </c>
      <c r="B16" s="38" t="s">
        <v>632</v>
      </c>
      <c r="C16" s="39" t="s">
        <v>633</v>
      </c>
      <c r="D16" s="40" t="s">
        <v>596</v>
      </c>
      <c r="E16" s="41" t="s">
        <v>634</v>
      </c>
      <c r="F16" s="41" t="s">
        <v>337</v>
      </c>
      <c r="G16" s="42">
        <v>982.1</v>
      </c>
      <c r="H16" s="7">
        <v>1060.0999999999999</v>
      </c>
      <c r="I16" s="8" t="s">
        <v>73</v>
      </c>
      <c r="J16" s="8" t="s">
        <v>635</v>
      </c>
      <c r="K16" s="9">
        <v>107942.16</v>
      </c>
    </row>
    <row r="17" spans="1:11" ht="16.5" customHeight="1" x14ac:dyDescent="0.2">
      <c r="A17" s="43">
        <v>14</v>
      </c>
      <c r="B17" s="44" t="s">
        <v>636</v>
      </c>
      <c r="C17" s="45" t="s">
        <v>637</v>
      </c>
      <c r="D17" s="46" t="s">
        <v>576</v>
      </c>
      <c r="E17" s="47" t="s">
        <v>638</v>
      </c>
      <c r="F17" s="47" t="s">
        <v>639</v>
      </c>
      <c r="G17" s="48">
        <v>1016.4</v>
      </c>
      <c r="H17" s="7">
        <v>1052</v>
      </c>
      <c r="I17" s="8" t="s">
        <v>482</v>
      </c>
      <c r="J17" s="8" t="s">
        <v>640</v>
      </c>
      <c r="K17" s="9">
        <v>103502.56</v>
      </c>
    </row>
    <row r="18" spans="1:11" ht="16.5" customHeight="1" x14ac:dyDescent="0.2">
      <c r="A18" s="37">
        <v>15</v>
      </c>
      <c r="B18" s="38" t="s">
        <v>641</v>
      </c>
      <c r="C18" s="39" t="s">
        <v>642</v>
      </c>
      <c r="D18" s="40" t="s">
        <v>643</v>
      </c>
      <c r="E18" s="41" t="s">
        <v>644</v>
      </c>
      <c r="F18" s="41" t="s">
        <v>639</v>
      </c>
      <c r="G18" s="42">
        <v>1050</v>
      </c>
      <c r="H18" s="10">
        <v>1047</v>
      </c>
      <c r="I18" s="11" t="s">
        <v>645</v>
      </c>
      <c r="J18" s="11" t="s">
        <v>646</v>
      </c>
      <c r="K18" s="12">
        <v>99714.29</v>
      </c>
    </row>
    <row r="19" spans="1:11" ht="16.5" customHeight="1" x14ac:dyDescent="0.2">
      <c r="A19" s="43">
        <v>16</v>
      </c>
      <c r="B19" s="44" t="s">
        <v>647</v>
      </c>
      <c r="C19" s="45" t="s">
        <v>648</v>
      </c>
      <c r="D19" s="46" t="s">
        <v>649</v>
      </c>
      <c r="E19" s="47" t="s">
        <v>365</v>
      </c>
      <c r="F19" s="47" t="s">
        <v>348</v>
      </c>
      <c r="G19" s="48">
        <v>1100</v>
      </c>
      <c r="H19" s="7">
        <v>1125</v>
      </c>
      <c r="I19" s="8" t="s">
        <v>171</v>
      </c>
      <c r="J19" s="8" t="s">
        <v>650</v>
      </c>
      <c r="K19" s="9">
        <v>102272.73</v>
      </c>
    </row>
    <row r="20" spans="1:11" ht="16.5" customHeight="1" x14ac:dyDescent="0.2">
      <c r="A20" s="37">
        <v>17</v>
      </c>
      <c r="B20" s="38" t="s">
        <v>651</v>
      </c>
      <c r="C20" s="39" t="s">
        <v>652</v>
      </c>
      <c r="D20" s="40" t="s">
        <v>653</v>
      </c>
      <c r="E20" s="41" t="s">
        <v>374</v>
      </c>
      <c r="F20" s="41" t="s">
        <v>348</v>
      </c>
      <c r="G20" s="42">
        <v>1069</v>
      </c>
      <c r="H20" s="10">
        <v>1060</v>
      </c>
      <c r="I20" s="11" t="s">
        <v>247</v>
      </c>
      <c r="J20" s="11" t="s">
        <v>654</v>
      </c>
      <c r="K20" s="12">
        <v>99158.09</v>
      </c>
    </row>
    <row r="22" spans="1:11" ht="19.5" customHeight="1" x14ac:dyDescent="0.2">
      <c r="A22" s="126" t="s">
        <v>655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</row>
  </sheetData>
  <mergeCells count="3">
    <mergeCell ref="A1:K1"/>
    <mergeCell ref="A2:K2"/>
    <mergeCell ref="A22:K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5704-9060-5F44-BE8E-BFAE65B52197}">
  <dimension ref="A1:J6"/>
  <sheetViews>
    <sheetView zoomScale="170" zoomScaleNormal="170" workbookViewId="0">
      <pane ySplit="3" topLeftCell="A4" activePane="bottomLeft" state="frozen"/>
      <selection pane="bottomLeft" activeCell="C4" sqref="C4"/>
    </sheetView>
  </sheetViews>
  <sheetFormatPr baseColWidth="10" defaultColWidth="8.6640625" defaultRowHeight="15" x14ac:dyDescent="0.2"/>
  <cols>
    <col min="1" max="1" width="5" customWidth="1"/>
    <col min="2" max="2" width="9" customWidth="1"/>
    <col min="3" max="3" width="32.6640625" bestFit="1" customWidth="1"/>
    <col min="4" max="4" width="13" customWidth="1"/>
    <col min="5" max="5" width="12" customWidth="1"/>
    <col min="6" max="7" width="14" customWidth="1"/>
    <col min="8" max="9" width="10" customWidth="1"/>
    <col min="10" max="10" width="17" customWidth="1"/>
  </cols>
  <sheetData>
    <row r="1" spans="1:10" ht="33.75" customHeight="1" x14ac:dyDescent="0.2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18" customHeight="1" x14ac:dyDescent="0.2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0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6.5" customHeight="1" x14ac:dyDescent="0.2">
      <c r="A4" s="2">
        <v>11</v>
      </c>
      <c r="B4" s="3" t="s">
        <v>65</v>
      </c>
      <c r="C4" s="4" t="s">
        <v>66</v>
      </c>
      <c r="D4" s="5" t="s">
        <v>67</v>
      </c>
      <c r="E4" s="5" t="s">
        <v>68</v>
      </c>
      <c r="F4" s="6">
        <v>111.3</v>
      </c>
      <c r="G4" s="7">
        <v>153.9</v>
      </c>
      <c r="H4" s="8" t="s">
        <v>69</v>
      </c>
      <c r="I4" s="8" t="s">
        <v>70</v>
      </c>
      <c r="J4" s="9">
        <v>138274.93</v>
      </c>
    </row>
    <row r="6" spans="1:10" ht="19.5" customHeight="1" x14ac:dyDescent="0.2">
      <c r="A6" s="128" t="s">
        <v>398</v>
      </c>
      <c r="B6" s="128"/>
      <c r="C6" s="128"/>
      <c r="D6" s="128"/>
      <c r="E6" s="128"/>
      <c r="F6" s="128"/>
      <c r="G6" s="128"/>
      <c r="H6" s="128"/>
      <c r="I6" s="128"/>
      <c r="J6" s="128"/>
    </row>
  </sheetData>
  <mergeCells count="3">
    <mergeCell ref="A1:J1"/>
    <mergeCell ref="A2:J2"/>
    <mergeCell ref="A6:J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📈 Equities IPO's</vt:lpstr>
      <vt:lpstr>📊 IPO Analysis</vt:lpstr>
      <vt:lpstr>🟣 Mutual Funds</vt:lpstr>
      <vt:lpstr>🔀 Merger Relistings</vt:lpstr>
      <vt:lpstr>🔵 Debentures</vt:lpstr>
      <vt:lpstr>Promoter 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Karma Y Gurung</cp:lastModifiedBy>
  <cp:revision>0</cp:revision>
  <dcterms:created xsi:type="dcterms:W3CDTF">2026-05-09T05:45:38Z</dcterms:created>
  <dcterms:modified xsi:type="dcterms:W3CDTF">2026-05-10T04:00:39Z</dcterms:modified>
  <dc:language>en-US</dc:language>
</cp:coreProperties>
</file>