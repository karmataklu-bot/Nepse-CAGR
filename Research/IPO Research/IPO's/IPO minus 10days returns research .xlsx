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karmagurung/CodingProjects/Nepse-CAGR/Research/IPO Research/"/>
    </mc:Choice>
  </mc:AlternateContent>
  <xr:revisionPtr revIDLastSave="0" documentId="13_ncr:9_{976324AD-710F-B840-BA3F-D2AA1177FBAB}" xr6:coauthVersionLast="47" xr6:coauthVersionMax="47" xr10:uidLastSave="{00000000-0000-0000-0000-000000000000}"/>
  <bookViews>
    <workbookView xWindow="380" yWindow="600" windowWidth="28040" windowHeight="17400" activeTab="2" xr2:uid="{00000000-000D-0000-FFFF-FFFF00000000}"/>
  </bookViews>
  <sheets>
    <sheet name="Dashboard" sheetId="9" r:id="rId1"/>
    <sheet name="listings_1_months_missed10d" sheetId="4" r:id="rId2"/>
    <sheet name="listings_45_days_missed10d" sheetId="2" r:id="rId3"/>
    <sheet name="listings_2_months_missed10d" sheetId="5" r:id="rId4"/>
    <sheet name="listings_4_months_missed10d" sheetId="3" r:id="rId5"/>
    <sheet name="listings_6_months_missed10d" sheetId="1" r:id="rId6"/>
    <sheet name="listings_1_year_missed10d" sheetId="6" r:id="rId7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10" i="9" l="1"/>
  <c r="G9" i="9"/>
  <c r="G8" i="9"/>
  <c r="G7" i="9"/>
  <c r="G6" i="9"/>
  <c r="G5" i="9"/>
  <c r="G74" i="6"/>
  <c r="G74" i="1"/>
  <c r="G74" i="3"/>
  <c r="G74" i="5"/>
  <c r="G74" i="2"/>
  <c r="G74" i="4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2" i="6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2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2" i="3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2" i="5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2" i="2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2" i="4"/>
  <c r="G73" i="5" l="1"/>
  <c r="G72" i="5"/>
  <c r="G72" i="3"/>
  <c r="G73" i="3" s="1"/>
  <c r="G72" i="4"/>
  <c r="G73" i="4" s="1"/>
  <c r="G72" i="1"/>
  <c r="G73" i="1" s="1"/>
  <c r="G72" i="2"/>
  <c r="G73" i="2"/>
  <c r="G72" i="6"/>
  <c r="G73" i="6" s="1"/>
</calcChain>
</file>

<file path=xl/sharedStrings.xml><?xml version="1.0" encoding="utf-8"?>
<sst xmlns="http://purl.oclc.org/ooxml/spreadsheetml/main" count="1340" uniqueCount="169">
  <si>
    <t>#</t>
  </si>
  <si>
    <t>6 months</t>
  </si>
  <si>
    <t>PPL</t>
  </si>
  <si>
    <t>SPHL</t>
  </si>
  <si>
    <t>SIKLES</t>
  </si>
  <si>
    <t>EHPL</t>
  </si>
  <si>
    <t>PHCL</t>
  </si>
  <si>
    <t>SHLB</t>
  </si>
  <si>
    <t>BHPL</t>
  </si>
  <si>
    <t>SMHL</t>
  </si>
  <si>
    <t>SPL</t>
  </si>
  <si>
    <t>MKHC</t>
  </si>
  <si>
    <t>AHL</t>
  </si>
  <si>
    <t>KDL</t>
  </si>
  <si>
    <t>SMH</t>
  </si>
  <si>
    <t>TAMOR</t>
  </si>
  <si>
    <t>MHCL</t>
  </si>
  <si>
    <t>SMJC</t>
  </si>
  <si>
    <t>ANLB</t>
  </si>
  <si>
    <t>MAKAR</t>
  </si>
  <si>
    <t>MKHL</t>
  </si>
  <si>
    <t>BEDC</t>
  </si>
  <si>
    <t>DOLTI</t>
  </si>
  <si>
    <t>CITY</t>
  </si>
  <si>
    <t>MCHL</t>
  </si>
  <si>
    <t>IHL</t>
  </si>
  <si>
    <t>MEL</t>
  </si>
  <si>
    <t>RAWA</t>
  </si>
  <si>
    <t>ILI</t>
  </si>
  <si>
    <t>NRM</t>
  </si>
  <si>
    <t>GCIL</t>
  </si>
  <si>
    <t>TSHL</t>
  </si>
  <si>
    <t>USHL</t>
  </si>
  <si>
    <t>KBSH</t>
  </si>
  <si>
    <t>RNLI</t>
  </si>
  <si>
    <t>SNLI</t>
  </si>
  <si>
    <t>MEHL</t>
  </si>
  <si>
    <t>ULHC</t>
  </si>
  <si>
    <t>CLI</t>
  </si>
  <si>
    <t>MANDU</t>
  </si>
  <si>
    <t>HATHY</t>
  </si>
  <si>
    <t>BGWT</t>
  </si>
  <si>
    <t>MSHL</t>
  </si>
  <si>
    <t>SONA</t>
  </si>
  <si>
    <t>MMKJL</t>
  </si>
  <si>
    <t>TVCL</t>
  </si>
  <si>
    <t>MKCL</t>
  </si>
  <si>
    <t>CKHL</t>
  </si>
  <si>
    <t>NWCL</t>
  </si>
  <si>
    <t>VLUCL</t>
  </si>
  <si>
    <t>HRL</t>
  </si>
  <si>
    <t>SARBTM</t>
  </si>
  <si>
    <t>GMLI</t>
  </si>
  <si>
    <t>NMIC</t>
  </si>
  <si>
    <t>CREST</t>
  </si>
  <si>
    <t>OMPL</t>
  </si>
  <si>
    <t>PURE</t>
  </si>
  <si>
    <t>TTL</t>
  </si>
  <si>
    <t>SANVI</t>
  </si>
  <si>
    <t>BHCL</t>
  </si>
  <si>
    <t>HIMSTAR</t>
  </si>
  <si>
    <t>MABEL</t>
  </si>
  <si>
    <t>DHEL</t>
  </si>
  <si>
    <t>SAGAR</t>
  </si>
  <si>
    <t>BUNGAL</t>
  </si>
  <si>
    <t>BANDIPUR</t>
  </si>
  <si>
    <t>SWASTIK</t>
  </si>
  <si>
    <t>JHAPA</t>
  </si>
  <si>
    <t>SAIL</t>
  </si>
  <si>
    <t>SYPNL</t>
  </si>
  <si>
    <t>RSML</t>
  </si>
  <si>
    <t>SABBL</t>
  </si>
  <si>
    <t>45 days</t>
  </si>
  <si>
    <t>4 months</t>
  </si>
  <si>
    <t>1 months</t>
  </si>
  <si>
    <t>2 months</t>
  </si>
  <si>
    <t>1 year</t>
  </si>
  <si>
    <t>Ticker</t>
  </si>
  <si>
    <t>Name</t>
  </si>
  <si>
    <t>Listing_Date</t>
  </si>
  <si>
    <t>Window_End</t>
  </si>
  <si>
    <t>Total_Return_%</t>
  </si>
  <si>
    <t>People's Power Limited</t>
  </si>
  <si>
    <t>Sayapatri Hydropower Limited</t>
  </si>
  <si>
    <t>Sikles Hydropower Limited</t>
  </si>
  <si>
    <t>Eastern Hydropower Limited</t>
  </si>
  <si>
    <t>Peoples Hydropower Company Limited</t>
  </si>
  <si>
    <t>Shrijanshil Laghubitta Bittiya Sanstha Limited</t>
  </si>
  <si>
    <t>Barahi Hydropower Public Limited</t>
  </si>
  <si>
    <t>Super Madi Hydropower Limited</t>
  </si>
  <si>
    <t>Shuvam Power Limited</t>
  </si>
  <si>
    <t>Maya Khola Hydropower Company Limited</t>
  </si>
  <si>
    <t>Asian Hydropower Limited</t>
  </si>
  <si>
    <t>Kalinchowk Darshan Limited</t>
  </si>
  <si>
    <t>Supermai Hydropower Limited</t>
  </si>
  <si>
    <t>Sanima Middle Tamor Hydropower Limited</t>
  </si>
  <si>
    <t>Molung Hydropower Company Limited</t>
  </si>
  <si>
    <t>Sagarmatha Jalbidhyut Company Limited</t>
  </si>
  <si>
    <t>Aatmanirbhar Laghubitta Bittiya Sanstha Limited</t>
  </si>
  <si>
    <t>Makar Jitumaya Suri Hydropower Company Limited</t>
  </si>
  <si>
    <t>Mai Khola Hydropower Limited</t>
  </si>
  <si>
    <t>Bhugol Energy Development Company Limited</t>
  </si>
  <si>
    <t>Dolti Power Company Ltd</t>
  </si>
  <si>
    <t>City Hotel Limited</t>
  </si>
  <si>
    <t>Menchhiyam Hydropower Limited</t>
  </si>
  <si>
    <t>Ingwa Hydropower Ltd</t>
  </si>
  <si>
    <t>Modi Energy Limited</t>
  </si>
  <si>
    <t>Rawa Energy Development Ltd.</t>
  </si>
  <si>
    <t>IME Life Insurance Company Limited</t>
  </si>
  <si>
    <t>Nepal Republic Media Limited</t>
  </si>
  <si>
    <t>Ghorahi Cement Industry Limited</t>
  </si>
  <si>
    <t>Three Star Hydropower Limited</t>
  </si>
  <si>
    <t>Upper Syange Hydropower Limited</t>
  </si>
  <si>
    <t>Kutheli Bukhari Small Hydropower Limited</t>
  </si>
  <si>
    <t>Reliable Nepal Life Insurance Limited</t>
  </si>
  <si>
    <t>Sun Nepal Life Insurance Company Limited</t>
  </si>
  <si>
    <t>Manakamana Engineering Hydropower Limited</t>
  </si>
  <si>
    <t>Upper Lohore Khola Hydropower Company Limited</t>
  </si>
  <si>
    <t>Citizen Life Insurance Company Limited</t>
  </si>
  <si>
    <t>Mandu Hydropower Limited</t>
  </si>
  <si>
    <t>Hathway Investment Nepal Limited</t>
  </si>
  <si>
    <t>Bhagawati Hydropower Development Company Limited</t>
  </si>
  <si>
    <t>Mid Solu Hydropower Company Limited</t>
  </si>
  <si>
    <t>Sonapur Minerals and Oil Limited</t>
  </si>
  <si>
    <t>Mathillo Mailun Khola Jalvidhyut Limited</t>
  </si>
  <si>
    <t>Trishuli Jal Vidhyut Company Limited</t>
  </si>
  <si>
    <t>Muktinath Krishi Company Limited</t>
  </si>
  <si>
    <t>Chirkhwa Hydro Power Limited</t>
  </si>
  <si>
    <t>Nepal Warehousing Company Limited</t>
  </si>
  <si>
    <t>Vision Lumbini Urja Company Limited</t>
  </si>
  <si>
    <t>Himalayan Reinsurance Limited</t>
  </si>
  <si>
    <t>Sarbottam Cement Limited</t>
  </si>
  <si>
    <t>Guardian Micro Life Insurance Limited</t>
  </si>
  <si>
    <t>Nepal Micro Insurance Company Limited</t>
  </si>
  <si>
    <t>Crest Micro Life Insurance Limited</t>
  </si>
  <si>
    <t>Om Megashree Pharmaceuticals Limited</t>
  </si>
  <si>
    <t>Pure Energy Limited</t>
  </si>
  <si>
    <t>Trade Tower Limited</t>
  </si>
  <si>
    <t>Sanvi Energy Limited</t>
  </si>
  <si>
    <t>Bikash Hydropower Company Limited</t>
  </si>
  <si>
    <t>Him Star Urja Company Limited</t>
  </si>
  <si>
    <t>Mabilung Energy Limited</t>
  </si>
  <si>
    <t>Daramkhola Hydro Energy Limited</t>
  </si>
  <si>
    <t>Sagar Distillery Limited</t>
  </si>
  <si>
    <t>Bungal Hydro Limited</t>
  </si>
  <si>
    <t>Bandipur Cable Car and Tourism Limited</t>
  </si>
  <si>
    <t>Swastik Laghubitta Bittiya Sanstha Limited</t>
  </si>
  <si>
    <t>Jhapa Energy Limited</t>
  </si>
  <si>
    <t>Shreenagar Agritech Industries Limited</t>
  </si>
  <si>
    <t>SY Panel Nepal Limited</t>
  </si>
  <si>
    <t>Salapa Bikas Bank Limited</t>
  </si>
  <si>
    <t>Avg Return %</t>
  </si>
  <si>
    <t>CAGR</t>
  </si>
  <si>
    <t>Time Frame</t>
  </si>
  <si>
    <t>Window (days)</t>
  </si>
  <si>
    <t># Stocks</t>
  </si>
  <si>
    <t>Avg Total Return %</t>
  </si>
  <si>
    <t>Annualised CAGR %</t>
  </si>
  <si>
    <t>1 Month</t>
  </si>
  <si>
    <t>45 Days</t>
  </si>
  <si>
    <t>2 Months</t>
  </si>
  <si>
    <t>4 Months</t>
  </si>
  <si>
    <t>6 Months</t>
  </si>
  <si>
    <t>1 Year</t>
  </si>
  <si>
    <t>IPO PERFORMANCE DASHBOARD — MISSED 10D</t>
  </si>
  <si>
    <t>Note: Avg Total Return % is simple average across all stocks for the holding window. CAGR annualises that return to a per-year rate. Data sourced from the corresponding listings_*_missed10d tabs.</t>
  </si>
  <si>
    <t>Median</t>
  </si>
  <si>
    <t>Median Return %</t>
  </si>
  <si>
    <t>Negative Returns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</si>
</sst>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 &quot;"/>
    <numFmt numFmtId="165" formatCode="#,##0.00&quot;% &quot;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4" borderId="10" xfId="0" applyFont="1" applyFill="1" applyBorder="1" applyAlignment="1">
      <alignment horizontal="center" vertical="center"/>
    </xf>
    <xf numFmtId="14" fontId="18" fillId="34" borderId="10" xfId="0" applyNumberFormat="1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0" borderId="0" xfId="0" applyFont="1"/>
    <xf numFmtId="0" fontId="0" fillId="35" borderId="0" xfId="0" applyFill="1"/>
    <xf numFmtId="0" fontId="21" fillId="36" borderId="11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164" fontId="18" fillId="34" borderId="11" xfId="0" applyNumberFormat="1" applyFont="1" applyFill="1" applyBorder="1" applyAlignment="1">
      <alignment horizontal="center"/>
    </xf>
    <xf numFmtId="0" fontId="18" fillId="37" borderId="11" xfId="0" applyFont="1" applyFill="1" applyBorder="1" applyAlignment="1">
      <alignment horizontal="center"/>
    </xf>
    <xf numFmtId="164" fontId="18" fillId="37" borderId="11" xfId="0" applyNumberFormat="1" applyFont="1" applyFill="1" applyBorder="1" applyAlignment="1">
      <alignment horizontal="center"/>
    </xf>
    <xf numFmtId="0" fontId="20" fillId="35" borderId="0" xfId="0" applyFont="1" applyFill="1" applyAlignment="1">
      <alignment vertical="center"/>
    </xf>
    <xf numFmtId="0" fontId="0" fillId="35" borderId="0" xfId="0" applyFill="1" applyAlignment="1">
      <alignment horizontal="center"/>
    </xf>
    <xf numFmtId="0" fontId="21" fillId="36" borderId="13" xfId="0" applyFont="1" applyFill="1" applyBorder="1" applyAlignment="1">
      <alignment horizontal="center"/>
    </xf>
    <xf numFmtId="0" fontId="21" fillId="36" borderId="14" xfId="0" applyFont="1" applyFill="1" applyBorder="1" applyAlignment="1">
      <alignment horizontal="center"/>
    </xf>
    <xf numFmtId="165" fontId="18" fillId="34" borderId="13" xfId="0" applyNumberFormat="1" applyFont="1" applyFill="1" applyBorder="1" applyAlignment="1">
      <alignment horizontal="center"/>
    </xf>
    <xf numFmtId="165" fontId="18" fillId="37" borderId="13" xfId="0" applyNumberFormat="1" applyFont="1" applyFill="1" applyBorder="1" applyAlignment="1">
      <alignment horizontal="center"/>
    </xf>
    <xf numFmtId="164" fontId="18" fillId="34" borderId="14" xfId="0" applyNumberFormat="1" applyFont="1" applyFill="1" applyBorder="1" applyAlignment="1">
      <alignment horizontal="center"/>
    </xf>
    <xf numFmtId="164" fontId="18" fillId="37" borderId="14" xfId="0" applyNumberFormat="1" applyFont="1" applyFill="1" applyBorder="1" applyAlignment="1">
      <alignment horizontal="center"/>
    </xf>
    <xf numFmtId="0" fontId="19" fillId="38" borderId="10" xfId="0" applyFont="1" applyFill="1" applyBorder="1" applyAlignment="1">
      <alignment horizontal="center" vertical="center"/>
    </xf>
    <xf numFmtId="0" fontId="16" fillId="38" borderId="10" xfId="0" applyFont="1" applyFill="1" applyBorder="1" applyAlignment="1">
      <alignment horizontal="center" vertical="center"/>
    </xf>
    <xf numFmtId="0" fontId="22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alcChain" Target="calcChain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E41E74C0-AE80-8441-A789-10BBC8EC82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63f98de-e09d-4262-9a59-23cdab793f75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133-C76E-904E-AA2F-53431FA5DDF3}">
  <dimension ref="B2:G15"/>
  <sheetViews>
    <sheetView zoomScale="150" zoomScaleNormal="150" workbookViewId="0">
      <selection activeCell="D10" sqref="D10"/>
    </sheetView>
  </sheetViews>
  <sheetFormatPr baseColWidth="10" defaultRowHeight="16" x14ac:dyDescent="0.2"/>
  <cols>
    <col min="1" max="1" width="4.1640625" customWidth="1"/>
    <col min="2" max="3" width="18.33203125" customWidth="1"/>
    <col min="4" max="4" width="13.33203125" customWidth="1"/>
    <col min="5" max="6" width="23.33203125" customWidth="1"/>
    <col min="7" max="7" width="15.5" bestFit="1" customWidth="1"/>
  </cols>
  <sheetData>
    <row r="2" spans="2:7" ht="32" customHeight="1" x14ac:dyDescent="0.2">
      <c r="B2" s="12" t="s">
        <v>164</v>
      </c>
      <c r="C2" s="13"/>
      <c r="D2" s="6"/>
      <c r="E2" s="6"/>
      <c r="F2" s="6"/>
    </row>
    <row r="4" spans="2:7" ht="28" customHeight="1" x14ac:dyDescent="0.2">
      <c r="B4" s="7" t="s">
        <v>153</v>
      </c>
      <c r="C4" s="7" t="s">
        <v>154</v>
      </c>
      <c r="D4" s="7" t="s">
        <v>155</v>
      </c>
      <c r="E4" s="7" t="s">
        <v>156</v>
      </c>
      <c r="F4" s="14" t="s">
        <v>157</v>
      </c>
      <c r="G4" s="15" t="s">
        <v>167</v>
      </c>
    </row>
    <row r="5" spans="2:7" x14ac:dyDescent="0.2">
      <c r="B5" s="8" t="s">
        <v>158</v>
      </c>
      <c r="C5" s="8">
        <v>30</v>
      </c>
      <c r="D5" s="8">
        <f>COUNTA(listings_1_months_missed10d!B2:B71)</f>
        <v>70</v>
      </c>
      <c r="E5" s="9">
        <f>listings_1_months_missed10d!G72</f>
        <v>44.838000000000001</v>
      </c>
      <c r="F5" s="16">
        <f>listings_1_months_missed10d!G73</f>
        <v>8965.7551178180165</v>
      </c>
      <c r="G5" s="18">
        <f>listings_1_months_missed10d!G74</f>
        <v>8.7199999999999989</v>
      </c>
    </row>
    <row r="6" spans="2:7" x14ac:dyDescent="0.2">
      <c r="B6" s="10" t="s">
        <v>159</v>
      </c>
      <c r="C6" s="10">
        <v>45</v>
      </c>
      <c r="D6" s="10">
        <f>COUNTA(listings_45_days_missed10d!B2:B71)</f>
        <v>70</v>
      </c>
      <c r="E6" s="11">
        <f>listings_45_days_missed10d!G72</f>
        <v>46.942142857142855</v>
      </c>
      <c r="F6" s="17">
        <f>listings_45_days_missed10d!G73</f>
        <v>2168.5208212836214</v>
      </c>
      <c r="G6" s="19">
        <f>listings_45_days_missed10d!G74</f>
        <v>10.64</v>
      </c>
    </row>
    <row r="7" spans="2:7" x14ac:dyDescent="0.2">
      <c r="B7" s="8" t="s">
        <v>160</v>
      </c>
      <c r="C7" s="8">
        <v>60</v>
      </c>
      <c r="D7" s="8">
        <f>COUNTA(listings_2_months_missed10d!B2:B71)</f>
        <v>70</v>
      </c>
      <c r="E7" s="9">
        <f>listings_2_months_missed10d!G72</f>
        <v>51.324285714285715</v>
      </c>
      <c r="F7" s="16">
        <f>listings_2_months_missed10d!G73</f>
        <v>1142.9228773772263</v>
      </c>
      <c r="G7" s="18">
        <f>listings_2_months_missed10d!G74</f>
        <v>17.439999999999998</v>
      </c>
    </row>
    <row r="8" spans="2:7" x14ac:dyDescent="0.2">
      <c r="B8" s="10" t="s">
        <v>161</v>
      </c>
      <c r="C8" s="10">
        <v>130</v>
      </c>
      <c r="D8" s="10">
        <f>COUNTA(listings_4_months_missed10d!B2:B71)</f>
        <v>70</v>
      </c>
      <c r="E8" s="11">
        <f>listings_4_months_missed10d!G72</f>
        <v>51.431857142857147</v>
      </c>
      <c r="F8" s="17">
        <f>listings_4_months_missed10d!G73</f>
        <v>253.31396010990321</v>
      </c>
      <c r="G8" s="19">
        <f>listings_4_months_missed10d!G74</f>
        <v>25.945</v>
      </c>
    </row>
    <row r="9" spans="2:7" x14ac:dyDescent="0.2">
      <c r="B9" s="8" t="s">
        <v>162</v>
      </c>
      <c r="C9" s="8">
        <v>180</v>
      </c>
      <c r="D9" s="8">
        <f>COUNTA(listings_6_months_missed10d!B2:B71)</f>
        <v>70</v>
      </c>
      <c r="E9" s="9">
        <f>listings_6_months_missed10d!G72</f>
        <v>54.17</v>
      </c>
      <c r="F9" s="16">
        <f>listings_6_months_missed10d!G73</f>
        <v>140.55919594307434</v>
      </c>
      <c r="G9" s="18">
        <f>listings_6_months_missed10d!G74</f>
        <v>27.835000000000001</v>
      </c>
    </row>
    <row r="10" spans="2:7" x14ac:dyDescent="0.2">
      <c r="B10" s="10" t="s">
        <v>163</v>
      </c>
      <c r="C10" s="10">
        <v>365</v>
      </c>
      <c r="D10" s="10">
        <f>COUNTA(listings_1_year_missed10d!B2:B71)</f>
        <v>70</v>
      </c>
      <c r="E10" s="11">
        <f>listings_1_year_missed10d!G72</f>
        <v>79.602142857142823</v>
      </c>
      <c r="F10" s="17">
        <f>listings_1_year_missed10d!G73</f>
        <v>79.602142857142823</v>
      </c>
      <c r="G10" s="11">
        <f>listings_1_year_missed10d!G74</f>
        <v>50.75</v>
      </c>
    </row>
    <row r="12" spans="2:7" x14ac:dyDescent="0.2">
      <c r="B12" s="5" t="s">
        <v>165</v>
      </c>
    </row>
    <row r="15" spans="2:7" x14ac:dyDescent="0.2">
      <c r="B15" s="22"/>
      <c r="C15" s="22"/>
      <c r="D15" s="22"/>
      <c r="E15" s="22"/>
      <c r="F15" s="22"/>
    </row>
  </sheetData>
  <mergeCells count="1">
    <mergeCell ref="B15:F15"/>
  </mergeCell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topLeftCell="B59" zoomScale="140" zoomScaleNormal="140" workbookViewId="0">
      <selection activeCell="E76" sqref="E76"/>
    </sheetView>
  </sheetViews>
  <sheetFormatPr baseColWidth="10" defaultRowHeight="16" x14ac:dyDescent="0.2"/>
  <cols>
    <col min="1" max="1" width="3.1640625" bestFit="1" customWidth="1"/>
    <col min="2" max="2" width="9.1640625" bestFit="1" customWidth="1"/>
    <col min="3" max="3" width="44" bestFit="1" customWidth="1"/>
    <col min="4" max="4" width="11.5" bestFit="1" customWidth="1"/>
    <col min="5" max="5" width="12" bestFit="1" customWidth="1"/>
    <col min="6" max="6" width="12.5" bestFit="1" customWidth="1"/>
    <col min="7" max="7" width="14.33203125" bestFit="1" customWidth="1"/>
  </cols>
  <sheetData>
    <row r="1" spans="1:7" ht="35" customHeight="1" x14ac:dyDescent="0.2">
      <c r="A1" s="4" t="s">
        <v>0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74</v>
      </c>
      <c r="G1" s="4" t="s">
        <v>81</v>
      </c>
    </row>
    <row r="2" spans="1:7" ht="20" customHeight="1" x14ac:dyDescent="0.2">
      <c r="A2" s="1">
        <f>ROW()-1</f>
        <v>1</v>
      </c>
      <c r="B2" s="1" t="s">
        <v>2</v>
      </c>
      <c r="C2" s="1" t="s">
        <v>82</v>
      </c>
      <c r="D2" s="2" t="d">
        <v>2022-10-26</v>
      </c>
      <c r="E2" s="2" t="d">
        <v>2022-11-26</v>
      </c>
      <c r="F2" s="1" t="s">
        <v>74</v>
      </c>
      <c r="G2" s="1">
        <v>0.48</v>
      </c>
    </row>
    <row r="3" spans="1:7" ht="20" customHeight="1" x14ac:dyDescent="0.2">
      <c r="A3" s="1">
        <f t="shared" ref="A3:A66" si="0">ROW()-1</f>
        <v>2</v>
      </c>
      <c r="B3" s="1" t="s">
        <v>3</v>
      </c>
      <c r="C3" s="1" t="s">
        <v>83</v>
      </c>
      <c r="D3" s="2" t="d">
        <v>2022-10-27</v>
      </c>
      <c r="E3" s="2" t="d">
        <v>2022-11-27</v>
      </c>
      <c r="F3" s="1" t="s">
        <v>74</v>
      </c>
      <c r="G3" s="1">
        <v>19.940000000000001</v>
      </c>
    </row>
    <row r="4" spans="1:7" ht="20" customHeight="1" x14ac:dyDescent="0.2">
      <c r="A4" s="1">
        <f t="shared" si="0"/>
        <v>3</v>
      </c>
      <c r="B4" s="1" t="s">
        <v>4</v>
      </c>
      <c r="C4" s="1" t="s">
        <v>84</v>
      </c>
      <c r="D4" s="2" t="d">
        <v>2022-11-25</v>
      </c>
      <c r="E4" s="2" t="d">
        <v>2022-12-25</v>
      </c>
      <c r="F4" s="1" t="s">
        <v>74</v>
      </c>
      <c r="G4" s="1">
        <v>-0.46</v>
      </c>
    </row>
    <row r="5" spans="1:7" ht="20" customHeight="1" x14ac:dyDescent="0.2">
      <c r="A5" s="1">
        <f t="shared" si="0"/>
        <v>4</v>
      </c>
      <c r="B5" s="1" t="s">
        <v>5</v>
      </c>
      <c r="C5" s="1" t="s">
        <v>85</v>
      </c>
      <c r="D5" s="2" t="d">
        <v>2022-12-24</v>
      </c>
      <c r="E5" s="2" t="d">
        <v>2023-01-24</v>
      </c>
      <c r="F5" s="1" t="s">
        <v>74</v>
      </c>
      <c r="G5" s="1">
        <v>31.68</v>
      </c>
    </row>
    <row r="6" spans="1:7" ht="20" customHeight="1" x14ac:dyDescent="0.2">
      <c r="A6" s="1">
        <f t="shared" si="0"/>
        <v>5</v>
      </c>
      <c r="B6" s="1" t="s">
        <v>6</v>
      </c>
      <c r="C6" s="1" t="s">
        <v>86</v>
      </c>
      <c r="D6" s="2" t="d">
        <v>2022-12-24</v>
      </c>
      <c r="E6" s="2" t="d">
        <v>2023-01-24</v>
      </c>
      <c r="F6" s="1" t="s">
        <v>74</v>
      </c>
      <c r="G6" s="1">
        <v>90.24</v>
      </c>
    </row>
    <row r="7" spans="1:7" ht="20" customHeight="1" x14ac:dyDescent="0.2">
      <c r="A7" s="1">
        <f t="shared" si="0"/>
        <v>6</v>
      </c>
      <c r="B7" s="1" t="s">
        <v>7</v>
      </c>
      <c r="C7" s="1" t="s">
        <v>87</v>
      </c>
      <c r="D7" s="2" t="d">
        <v>2022-12-30</v>
      </c>
      <c r="E7" s="2" t="d">
        <v>2023-01-30</v>
      </c>
      <c r="F7" s="1" t="s">
        <v>74</v>
      </c>
      <c r="G7" s="1">
        <v>18.97</v>
      </c>
    </row>
    <row r="8" spans="1:7" ht="20" customHeight="1" x14ac:dyDescent="0.2">
      <c r="A8" s="1">
        <f t="shared" si="0"/>
        <v>7</v>
      </c>
      <c r="B8" s="1" t="s">
        <v>8</v>
      </c>
      <c r="C8" s="1" t="s">
        <v>88</v>
      </c>
      <c r="D8" s="2" t="d">
        <v>2023-01-14</v>
      </c>
      <c r="E8" s="2" t="d">
        <v>2023-02-14</v>
      </c>
      <c r="F8" s="1" t="s">
        <v>74</v>
      </c>
      <c r="G8" s="1">
        <v>61.03</v>
      </c>
    </row>
    <row r="9" spans="1:7" ht="20" customHeight="1" x14ac:dyDescent="0.2">
      <c r="A9" s="1">
        <f t="shared" si="0"/>
        <v>8</v>
      </c>
      <c r="B9" s="1" t="s">
        <v>9</v>
      </c>
      <c r="C9" s="1" t="s">
        <v>89</v>
      </c>
      <c r="D9" s="2" t="d">
        <v>2023-03-15</v>
      </c>
      <c r="E9" s="2" t="d">
        <v>2023-04-15</v>
      </c>
      <c r="F9" s="1" t="s">
        <v>74</v>
      </c>
      <c r="G9" s="1">
        <v>0.72</v>
      </c>
    </row>
    <row r="10" spans="1:7" ht="20" customHeight="1" x14ac:dyDescent="0.2">
      <c r="A10" s="1">
        <f t="shared" si="0"/>
        <v>9</v>
      </c>
      <c r="B10" s="1" t="s">
        <v>10</v>
      </c>
      <c r="C10" s="1" t="s">
        <v>90</v>
      </c>
      <c r="D10" s="2" t="d">
        <v>2023-03-17</v>
      </c>
      <c r="E10" s="2" t="d">
        <v>2023-04-17</v>
      </c>
      <c r="F10" s="1" t="s">
        <v>74</v>
      </c>
      <c r="G10" s="1">
        <v>-3.1</v>
      </c>
    </row>
    <row r="11" spans="1:7" ht="20" customHeight="1" x14ac:dyDescent="0.2">
      <c r="A11" s="1">
        <f t="shared" si="0"/>
        <v>10</v>
      </c>
      <c r="B11" s="1" t="s">
        <v>11</v>
      </c>
      <c r="C11" s="1" t="s">
        <v>91</v>
      </c>
      <c r="D11" s="2" t="d">
        <v>2023-04-01</v>
      </c>
      <c r="E11" s="2" t="d">
        <v>2023-05-01</v>
      </c>
      <c r="F11" s="1" t="s">
        <v>74</v>
      </c>
      <c r="G11" s="1">
        <v>-16.25</v>
      </c>
    </row>
    <row r="12" spans="1:7" ht="20" customHeight="1" x14ac:dyDescent="0.2">
      <c r="A12" s="1">
        <f t="shared" si="0"/>
        <v>11</v>
      </c>
      <c r="B12" s="1" t="s">
        <v>12</v>
      </c>
      <c r="C12" s="1" t="s">
        <v>92</v>
      </c>
      <c r="D12" s="2" t="d">
        <v>2023-04-02</v>
      </c>
      <c r="E12" s="2" t="d">
        <v>2023-05-02</v>
      </c>
      <c r="F12" s="1" t="s">
        <v>74</v>
      </c>
      <c r="G12" s="1">
        <v>-11.95</v>
      </c>
    </row>
    <row r="13" spans="1:7" ht="20" customHeight="1" x14ac:dyDescent="0.2">
      <c r="A13" s="1">
        <f t="shared" si="0"/>
        <v>12</v>
      </c>
      <c r="B13" s="1" t="s">
        <v>13</v>
      </c>
      <c r="C13" s="1" t="s">
        <v>93</v>
      </c>
      <c r="D13" s="2" t="d">
        <v>2023-04-02</v>
      </c>
      <c r="E13" s="2" t="d">
        <v>2023-05-02</v>
      </c>
      <c r="F13" s="1" t="s">
        <v>74</v>
      </c>
      <c r="G13" s="1">
        <v>258.52</v>
      </c>
    </row>
    <row r="14" spans="1:7" ht="20" customHeight="1" x14ac:dyDescent="0.2">
      <c r="A14" s="1">
        <f t="shared" si="0"/>
        <v>13</v>
      </c>
      <c r="B14" s="1" t="s">
        <v>14</v>
      </c>
      <c r="C14" s="1" t="s">
        <v>94</v>
      </c>
      <c r="D14" s="2" t="d">
        <v>2023-04-06</v>
      </c>
      <c r="E14" s="2" t="d">
        <v>2023-05-06</v>
      </c>
      <c r="F14" s="1" t="s">
        <v>74</v>
      </c>
      <c r="G14" s="1">
        <v>-6.46</v>
      </c>
    </row>
    <row r="15" spans="1:7" ht="20" customHeight="1" x14ac:dyDescent="0.2">
      <c r="A15" s="1">
        <f t="shared" si="0"/>
        <v>14</v>
      </c>
      <c r="B15" s="1" t="s">
        <v>15</v>
      </c>
      <c r="C15" s="1" t="s">
        <v>95</v>
      </c>
      <c r="D15" s="2" t="d">
        <v>2023-04-20</v>
      </c>
      <c r="E15" s="2" t="d">
        <v>2023-05-20</v>
      </c>
      <c r="F15" s="1" t="s">
        <v>74</v>
      </c>
      <c r="G15" s="1">
        <v>-11.47</v>
      </c>
    </row>
    <row r="16" spans="1:7" ht="20" customHeight="1" x14ac:dyDescent="0.2">
      <c r="A16" s="1">
        <f t="shared" si="0"/>
        <v>15</v>
      </c>
      <c r="B16" s="1" t="s">
        <v>16</v>
      </c>
      <c r="C16" s="1" t="s">
        <v>96</v>
      </c>
      <c r="D16" s="2" t="d">
        <v>2023-04-23</v>
      </c>
      <c r="E16" s="2" t="d">
        <v>2023-05-23</v>
      </c>
      <c r="F16" s="1" t="s">
        <v>74</v>
      </c>
      <c r="G16" s="1">
        <v>-7.83</v>
      </c>
    </row>
    <row r="17" spans="1:7" ht="20" customHeight="1" x14ac:dyDescent="0.2">
      <c r="A17" s="1">
        <f t="shared" si="0"/>
        <v>16</v>
      </c>
      <c r="B17" s="1" t="s">
        <v>17</v>
      </c>
      <c r="C17" s="1" t="s">
        <v>97</v>
      </c>
      <c r="D17" s="2" t="d">
        <v>2023-04-23</v>
      </c>
      <c r="E17" s="2" t="d">
        <v>2023-05-23</v>
      </c>
      <c r="F17" s="1" t="s">
        <v>74</v>
      </c>
      <c r="G17" s="1">
        <v>-8.1</v>
      </c>
    </row>
    <row r="18" spans="1:7" ht="20" customHeight="1" x14ac:dyDescent="0.2">
      <c r="A18" s="1">
        <f t="shared" si="0"/>
        <v>17</v>
      </c>
      <c r="B18" s="1" t="s">
        <v>18</v>
      </c>
      <c r="C18" s="1" t="s">
        <v>98</v>
      </c>
      <c r="D18" s="2" t="d">
        <v>2023-05-12</v>
      </c>
      <c r="E18" s="2" t="d">
        <v>2023-06-12</v>
      </c>
      <c r="F18" s="1" t="s">
        <v>74</v>
      </c>
      <c r="G18" s="1">
        <v>180.57</v>
      </c>
    </row>
    <row r="19" spans="1:7" ht="20" customHeight="1" x14ac:dyDescent="0.2">
      <c r="A19" s="1">
        <f t="shared" si="0"/>
        <v>18</v>
      </c>
      <c r="B19" s="1" t="s">
        <v>19</v>
      </c>
      <c r="C19" s="1" t="s">
        <v>99</v>
      </c>
      <c r="D19" s="2" t="d">
        <v>2023-05-17</v>
      </c>
      <c r="E19" s="2" t="d">
        <v>2023-06-17</v>
      </c>
      <c r="F19" s="1" t="s">
        <v>74</v>
      </c>
      <c r="G19" s="1">
        <v>32.11</v>
      </c>
    </row>
    <row r="20" spans="1:7" ht="20" customHeight="1" x14ac:dyDescent="0.2">
      <c r="A20" s="1">
        <f t="shared" si="0"/>
        <v>19</v>
      </c>
      <c r="B20" s="1" t="s">
        <v>20</v>
      </c>
      <c r="C20" s="1" t="s">
        <v>100</v>
      </c>
      <c r="D20" s="2" t="d">
        <v>2023-05-26</v>
      </c>
      <c r="E20" s="2" t="d">
        <v>2023-06-26</v>
      </c>
      <c r="F20" s="1" t="s">
        <v>74</v>
      </c>
      <c r="G20" s="1">
        <v>8.65</v>
      </c>
    </row>
    <row r="21" spans="1:7" ht="20" customHeight="1" x14ac:dyDescent="0.2">
      <c r="A21" s="1">
        <f t="shared" si="0"/>
        <v>20</v>
      </c>
      <c r="B21" s="1" t="s">
        <v>21</v>
      </c>
      <c r="C21" s="1" t="s">
        <v>101</v>
      </c>
      <c r="D21" s="2" t="d">
        <v>2023-06-18</v>
      </c>
      <c r="E21" s="2" t="d">
        <v>2023-07-18</v>
      </c>
      <c r="F21" s="1" t="s">
        <v>74</v>
      </c>
      <c r="G21" s="1">
        <v>-18.71</v>
      </c>
    </row>
    <row r="22" spans="1:7" ht="20" customHeight="1" x14ac:dyDescent="0.2">
      <c r="A22" s="1">
        <f t="shared" si="0"/>
        <v>21</v>
      </c>
      <c r="B22" s="1" t="s">
        <v>22</v>
      </c>
      <c r="C22" s="1" t="s">
        <v>102</v>
      </c>
      <c r="D22" s="2" t="d">
        <v>2023-06-18</v>
      </c>
      <c r="E22" s="2" t="d">
        <v>2023-07-18</v>
      </c>
      <c r="F22" s="1" t="s">
        <v>74</v>
      </c>
      <c r="G22" s="1">
        <v>-19.440000000000001</v>
      </c>
    </row>
    <row r="23" spans="1:7" ht="20" customHeight="1" x14ac:dyDescent="0.2">
      <c r="A23" s="1">
        <f t="shared" si="0"/>
        <v>22</v>
      </c>
      <c r="B23" s="1" t="s">
        <v>23</v>
      </c>
      <c r="C23" s="1" t="s">
        <v>103</v>
      </c>
      <c r="D23" s="2" t="d">
        <v>2023-06-21</v>
      </c>
      <c r="E23" s="2" t="d">
        <v>2023-07-21</v>
      </c>
      <c r="F23" s="1" t="s">
        <v>74</v>
      </c>
      <c r="G23" s="1">
        <v>157.46</v>
      </c>
    </row>
    <row r="24" spans="1:7" ht="20" customHeight="1" x14ac:dyDescent="0.2">
      <c r="A24" s="1">
        <f t="shared" si="0"/>
        <v>23</v>
      </c>
      <c r="B24" s="1" t="s">
        <v>24</v>
      </c>
      <c r="C24" s="1" t="s">
        <v>104</v>
      </c>
      <c r="D24" s="2" t="d">
        <v>2023-06-28</v>
      </c>
      <c r="E24" s="2" t="d">
        <v>2023-07-28</v>
      </c>
      <c r="F24" s="1" t="s">
        <v>74</v>
      </c>
      <c r="G24" s="1">
        <v>-6.77</v>
      </c>
    </row>
    <row r="25" spans="1:7" ht="20" customHeight="1" x14ac:dyDescent="0.2">
      <c r="A25" s="1">
        <f t="shared" si="0"/>
        <v>24</v>
      </c>
      <c r="B25" s="1" t="s">
        <v>25</v>
      </c>
      <c r="C25" s="1" t="s">
        <v>105</v>
      </c>
      <c r="D25" s="2" t="d">
        <v>2023-06-30</v>
      </c>
      <c r="E25" s="2" t="d">
        <v>2023-07-30</v>
      </c>
      <c r="F25" s="1" t="s">
        <v>74</v>
      </c>
      <c r="G25" s="1">
        <v>-10.210000000000001</v>
      </c>
    </row>
    <row r="26" spans="1:7" ht="20" customHeight="1" x14ac:dyDescent="0.2">
      <c r="A26" s="1">
        <f t="shared" si="0"/>
        <v>25</v>
      </c>
      <c r="B26" s="1" t="s">
        <v>26</v>
      </c>
      <c r="C26" s="1" t="s">
        <v>106</v>
      </c>
      <c r="D26" s="2" t="d">
        <v>2023-07-15</v>
      </c>
      <c r="E26" s="2" t="d">
        <v>2023-08-15</v>
      </c>
      <c r="F26" s="1" t="s">
        <v>74</v>
      </c>
      <c r="G26" s="1">
        <v>-11.61</v>
      </c>
    </row>
    <row r="27" spans="1:7" ht="20" customHeight="1" x14ac:dyDescent="0.2">
      <c r="A27" s="1">
        <f t="shared" si="0"/>
        <v>26</v>
      </c>
      <c r="B27" s="1" t="s">
        <v>27</v>
      </c>
      <c r="C27" s="1" t="s">
        <v>107</v>
      </c>
      <c r="D27" s="2" t="d">
        <v>2023-07-15</v>
      </c>
      <c r="E27" s="2" t="d">
        <v>2023-08-15</v>
      </c>
      <c r="F27" s="1" t="s">
        <v>74</v>
      </c>
      <c r="G27" s="1">
        <v>-4.87</v>
      </c>
    </row>
    <row r="28" spans="1:7" ht="20" customHeight="1" x14ac:dyDescent="0.2">
      <c r="A28" s="1">
        <f t="shared" si="0"/>
        <v>27</v>
      </c>
      <c r="B28" s="1" t="s">
        <v>28</v>
      </c>
      <c r="C28" s="1" t="s">
        <v>108</v>
      </c>
      <c r="D28" s="2" t="d">
        <v>2023-08-16</v>
      </c>
      <c r="E28" s="2" t="d">
        <v>2023-09-16</v>
      </c>
      <c r="F28" s="1" t="s">
        <v>74</v>
      </c>
      <c r="G28" s="1">
        <v>-3.97</v>
      </c>
    </row>
    <row r="29" spans="1:7" ht="20" customHeight="1" x14ac:dyDescent="0.2">
      <c r="A29" s="1">
        <f t="shared" si="0"/>
        <v>28</v>
      </c>
      <c r="B29" s="1" t="s">
        <v>29</v>
      </c>
      <c r="C29" s="1" t="s">
        <v>109</v>
      </c>
      <c r="D29" s="2" t="d">
        <v>2023-08-16</v>
      </c>
      <c r="E29" s="2" t="d">
        <v>2023-09-16</v>
      </c>
      <c r="F29" s="1" t="s">
        <v>74</v>
      </c>
      <c r="G29" s="1">
        <v>-13.6</v>
      </c>
    </row>
    <row r="30" spans="1:7" ht="20" customHeight="1" x14ac:dyDescent="0.2">
      <c r="A30" s="1">
        <f t="shared" si="0"/>
        <v>29</v>
      </c>
      <c r="B30" s="1" t="s">
        <v>30</v>
      </c>
      <c r="C30" s="1" t="s">
        <v>110</v>
      </c>
      <c r="D30" s="2" t="d">
        <v>2023-08-23</v>
      </c>
      <c r="E30" s="2" t="d">
        <v>2023-09-23</v>
      </c>
      <c r="F30" s="1" t="s">
        <v>74</v>
      </c>
      <c r="G30" s="1">
        <v>-5.0999999999999996</v>
      </c>
    </row>
    <row r="31" spans="1:7" ht="20" customHeight="1" x14ac:dyDescent="0.2">
      <c r="A31" s="1">
        <f t="shared" si="0"/>
        <v>30</v>
      </c>
      <c r="B31" s="1" t="s">
        <v>31</v>
      </c>
      <c r="C31" s="1" t="s">
        <v>111</v>
      </c>
      <c r="D31" s="2" t="d">
        <v>2023-08-23</v>
      </c>
      <c r="E31" s="2" t="d">
        <v>2023-09-23</v>
      </c>
      <c r="F31" s="1" t="s">
        <v>74</v>
      </c>
      <c r="G31" s="1">
        <v>68.91</v>
      </c>
    </row>
    <row r="32" spans="1:7" ht="20" customHeight="1" x14ac:dyDescent="0.2">
      <c r="A32" s="1">
        <f t="shared" si="0"/>
        <v>31</v>
      </c>
      <c r="B32" s="1" t="s">
        <v>32</v>
      </c>
      <c r="C32" s="1" t="s">
        <v>112</v>
      </c>
      <c r="D32" s="2" t="d">
        <v>2023-08-23</v>
      </c>
      <c r="E32" s="2" t="d">
        <v>2023-09-23</v>
      </c>
      <c r="F32" s="1" t="s">
        <v>74</v>
      </c>
      <c r="G32" s="1">
        <v>8.6199999999999992</v>
      </c>
    </row>
    <row r="33" spans="1:7" ht="20" customHeight="1" x14ac:dyDescent="0.2">
      <c r="A33" s="1">
        <f t="shared" si="0"/>
        <v>32</v>
      </c>
      <c r="B33" s="1" t="s">
        <v>33</v>
      </c>
      <c r="C33" s="1" t="s">
        <v>113</v>
      </c>
      <c r="D33" s="2" t="d">
        <v>2023-08-31</v>
      </c>
      <c r="E33" s="2" t="d">
        <v>2023-09-30</v>
      </c>
      <c r="F33" s="1" t="s">
        <v>74</v>
      </c>
      <c r="G33" s="1">
        <v>3.22</v>
      </c>
    </row>
    <row r="34" spans="1:7" ht="20" customHeight="1" x14ac:dyDescent="0.2">
      <c r="A34" s="1">
        <f t="shared" si="0"/>
        <v>33</v>
      </c>
      <c r="B34" s="1" t="s">
        <v>34</v>
      </c>
      <c r="C34" s="1" t="s">
        <v>114</v>
      </c>
      <c r="D34" s="2" t="d">
        <v>2023-09-27</v>
      </c>
      <c r="E34" s="2" t="d">
        <v>2023-10-27</v>
      </c>
      <c r="F34" s="1" t="s">
        <v>74</v>
      </c>
      <c r="G34" s="1">
        <v>-13.19</v>
      </c>
    </row>
    <row r="35" spans="1:7" ht="20" customHeight="1" x14ac:dyDescent="0.2">
      <c r="A35" s="1">
        <f t="shared" si="0"/>
        <v>34</v>
      </c>
      <c r="B35" s="1" t="s">
        <v>35</v>
      </c>
      <c r="C35" s="1" t="s">
        <v>115</v>
      </c>
      <c r="D35" s="2" t="d">
        <v>2023-10-01</v>
      </c>
      <c r="E35" s="2" t="d">
        <v>2023-11-01</v>
      </c>
      <c r="F35" s="1" t="s">
        <v>74</v>
      </c>
      <c r="G35" s="1">
        <v>-11.78</v>
      </c>
    </row>
    <row r="36" spans="1:7" ht="20" customHeight="1" x14ac:dyDescent="0.2">
      <c r="A36" s="1">
        <f t="shared" si="0"/>
        <v>35</v>
      </c>
      <c r="B36" s="1" t="s">
        <v>36</v>
      </c>
      <c r="C36" s="1" t="s">
        <v>116</v>
      </c>
      <c r="D36" s="2" t="d">
        <v>2023-10-05</v>
      </c>
      <c r="E36" s="2" t="d">
        <v>2023-11-05</v>
      </c>
      <c r="F36" s="1" t="s">
        <v>74</v>
      </c>
      <c r="G36" s="1">
        <v>-20.350000000000001</v>
      </c>
    </row>
    <row r="37" spans="1:7" ht="20" customHeight="1" x14ac:dyDescent="0.2">
      <c r="A37" s="1">
        <f t="shared" si="0"/>
        <v>36</v>
      </c>
      <c r="B37" s="1" t="s">
        <v>37</v>
      </c>
      <c r="C37" s="1" t="s">
        <v>117</v>
      </c>
      <c r="D37" s="2" t="d">
        <v>2023-10-05</v>
      </c>
      <c r="E37" s="2" t="d">
        <v>2023-11-05</v>
      </c>
      <c r="F37" s="1" t="s">
        <v>74</v>
      </c>
      <c r="G37" s="1">
        <v>-3.29</v>
      </c>
    </row>
    <row r="38" spans="1:7" ht="20" customHeight="1" x14ac:dyDescent="0.2">
      <c r="A38" s="1">
        <f t="shared" si="0"/>
        <v>37</v>
      </c>
      <c r="B38" s="1" t="s">
        <v>38</v>
      </c>
      <c r="C38" s="1" t="s">
        <v>118</v>
      </c>
      <c r="D38" s="2" t="d">
        <v>2023-10-11</v>
      </c>
      <c r="E38" s="2" t="d">
        <v>2023-11-11</v>
      </c>
      <c r="F38" s="1" t="s">
        <v>74</v>
      </c>
      <c r="G38" s="1">
        <v>-2.8</v>
      </c>
    </row>
    <row r="39" spans="1:7" ht="20" customHeight="1" x14ac:dyDescent="0.2">
      <c r="A39" s="1">
        <f t="shared" si="0"/>
        <v>38</v>
      </c>
      <c r="B39" s="1" t="s">
        <v>39</v>
      </c>
      <c r="C39" s="1" t="s">
        <v>119</v>
      </c>
      <c r="D39" s="2" t="d">
        <v>2023-10-21</v>
      </c>
      <c r="E39" s="2" t="d">
        <v>2023-11-21</v>
      </c>
      <c r="F39" s="1" t="s">
        <v>74</v>
      </c>
      <c r="G39" s="1">
        <v>9.39</v>
      </c>
    </row>
    <row r="40" spans="1:7" ht="20" customHeight="1" x14ac:dyDescent="0.2">
      <c r="A40" s="1">
        <f t="shared" si="0"/>
        <v>39</v>
      </c>
      <c r="B40" s="1" t="s">
        <v>40</v>
      </c>
      <c r="C40" s="1" t="s">
        <v>120</v>
      </c>
      <c r="D40" s="2" t="d">
        <v>2023-10-21</v>
      </c>
      <c r="E40" s="2" t="d">
        <v>2023-11-21</v>
      </c>
      <c r="F40" s="1" t="s">
        <v>74</v>
      </c>
      <c r="G40" s="1">
        <v>29.52</v>
      </c>
    </row>
    <row r="41" spans="1:7" ht="20" customHeight="1" x14ac:dyDescent="0.2">
      <c r="A41" s="1">
        <f t="shared" si="0"/>
        <v>40</v>
      </c>
      <c r="B41" s="1" t="s">
        <v>41</v>
      </c>
      <c r="C41" s="1" t="s">
        <v>121</v>
      </c>
      <c r="D41" s="2" t="d">
        <v>2023-10-22</v>
      </c>
      <c r="E41" s="2" t="d">
        <v>2023-11-22</v>
      </c>
      <c r="F41" s="1" t="s">
        <v>74</v>
      </c>
      <c r="G41" s="1">
        <v>6.54</v>
      </c>
    </row>
    <row r="42" spans="1:7" ht="20" customHeight="1" x14ac:dyDescent="0.2">
      <c r="A42" s="1">
        <f t="shared" si="0"/>
        <v>41</v>
      </c>
      <c r="B42" s="1" t="s">
        <v>42</v>
      </c>
      <c r="C42" s="1" t="s">
        <v>122</v>
      </c>
      <c r="D42" s="2" t="d">
        <v>2023-10-22</v>
      </c>
      <c r="E42" s="2" t="d">
        <v>2023-11-22</v>
      </c>
      <c r="F42" s="1" t="s">
        <v>74</v>
      </c>
      <c r="G42" s="1">
        <v>11.22</v>
      </c>
    </row>
    <row r="43" spans="1:7" ht="20" customHeight="1" x14ac:dyDescent="0.2">
      <c r="A43" s="1">
        <f t="shared" si="0"/>
        <v>42</v>
      </c>
      <c r="B43" s="1" t="s">
        <v>43</v>
      </c>
      <c r="C43" s="1" t="s">
        <v>123</v>
      </c>
      <c r="D43" s="2" t="d">
        <v>2023-11-08</v>
      </c>
      <c r="E43" s="2" t="d">
        <v>2023-12-08</v>
      </c>
      <c r="F43" s="1" t="s">
        <v>74</v>
      </c>
      <c r="G43" s="1">
        <v>8.7899999999999991</v>
      </c>
    </row>
    <row r="44" spans="1:7" ht="20" customHeight="1" x14ac:dyDescent="0.2">
      <c r="A44" s="1">
        <f t="shared" si="0"/>
        <v>43</v>
      </c>
      <c r="B44" s="1" t="s">
        <v>44</v>
      </c>
      <c r="C44" s="1" t="s">
        <v>124</v>
      </c>
      <c r="D44" s="2" t="d">
        <v>2023-11-30</v>
      </c>
      <c r="E44" s="2" t="d">
        <v>2023-12-30</v>
      </c>
      <c r="F44" s="1" t="s">
        <v>74</v>
      </c>
      <c r="G44" s="1">
        <v>29.68</v>
      </c>
    </row>
    <row r="45" spans="1:7" ht="20" customHeight="1" x14ac:dyDescent="0.2">
      <c r="A45" s="1">
        <f t="shared" si="0"/>
        <v>44</v>
      </c>
      <c r="B45" s="1" t="s">
        <v>45</v>
      </c>
      <c r="C45" s="1" t="s">
        <v>125</v>
      </c>
      <c r="D45" s="2" t="d">
        <v>2023-12-17</v>
      </c>
      <c r="E45" s="2" t="d">
        <v>2024-01-17</v>
      </c>
      <c r="F45" s="1" t="s">
        <v>74</v>
      </c>
      <c r="G45" s="1">
        <v>65.900000000000006</v>
      </c>
    </row>
    <row r="46" spans="1:7" ht="20" customHeight="1" x14ac:dyDescent="0.2">
      <c r="A46" s="1">
        <f t="shared" si="0"/>
        <v>45</v>
      </c>
      <c r="B46" s="1" t="s">
        <v>46</v>
      </c>
      <c r="C46" s="1" t="s">
        <v>126</v>
      </c>
      <c r="D46" s="2" t="d">
        <v>2023-12-24</v>
      </c>
      <c r="E46" s="2" t="d">
        <v>2024-01-24</v>
      </c>
      <c r="F46" s="1" t="s">
        <v>74</v>
      </c>
      <c r="G46" s="1">
        <v>193.19</v>
      </c>
    </row>
    <row r="47" spans="1:7" ht="20" customHeight="1" x14ac:dyDescent="0.2">
      <c r="A47" s="1">
        <f t="shared" si="0"/>
        <v>46</v>
      </c>
      <c r="B47" s="1" t="s">
        <v>47</v>
      </c>
      <c r="C47" s="1" t="s">
        <v>127</v>
      </c>
      <c r="D47" s="2" t="d">
        <v>2023-12-31</v>
      </c>
      <c r="E47" s="2" t="d">
        <v>2024-01-31</v>
      </c>
      <c r="F47" s="1" t="s">
        <v>74</v>
      </c>
      <c r="G47" s="1">
        <v>5.57</v>
      </c>
    </row>
    <row r="48" spans="1:7" ht="20" customHeight="1" x14ac:dyDescent="0.2">
      <c r="A48" s="1">
        <f t="shared" si="0"/>
        <v>47</v>
      </c>
      <c r="B48" s="1" t="s">
        <v>48</v>
      </c>
      <c r="C48" s="1" t="s">
        <v>128</v>
      </c>
      <c r="D48" s="2" t="d">
        <v>2023-12-31</v>
      </c>
      <c r="E48" s="2" t="d">
        <v>2024-01-31</v>
      </c>
      <c r="F48" s="1" t="s">
        <v>74</v>
      </c>
      <c r="G48" s="1">
        <v>148.88</v>
      </c>
    </row>
    <row r="49" spans="1:7" ht="20" customHeight="1" x14ac:dyDescent="0.2">
      <c r="A49" s="1">
        <f t="shared" si="0"/>
        <v>48</v>
      </c>
      <c r="B49" s="1" t="s">
        <v>49</v>
      </c>
      <c r="C49" s="1" t="s">
        <v>129</v>
      </c>
      <c r="D49" s="2" t="d">
        <v>2023-12-31</v>
      </c>
      <c r="E49" s="2" t="d">
        <v>2024-01-31</v>
      </c>
      <c r="F49" s="1" t="s">
        <v>74</v>
      </c>
      <c r="G49" s="1">
        <v>-7.29</v>
      </c>
    </row>
    <row r="50" spans="1:7" ht="20" customHeight="1" x14ac:dyDescent="0.2">
      <c r="A50" s="1">
        <f t="shared" si="0"/>
        <v>49</v>
      </c>
      <c r="B50" s="1" t="s">
        <v>50</v>
      </c>
      <c r="C50" s="1" t="s">
        <v>130</v>
      </c>
      <c r="D50" s="2" t="d">
        <v>2024-01-18</v>
      </c>
      <c r="E50" s="2" t="d">
        <v>2024-02-18</v>
      </c>
      <c r="F50" s="1" t="s">
        <v>74</v>
      </c>
      <c r="G50" s="1">
        <v>-1.21</v>
      </c>
    </row>
    <row r="51" spans="1:7" ht="20" customHeight="1" x14ac:dyDescent="0.2">
      <c r="A51" s="1">
        <f t="shared" si="0"/>
        <v>50</v>
      </c>
      <c r="B51" s="1" t="s">
        <v>51</v>
      </c>
      <c r="C51" s="1" t="s">
        <v>131</v>
      </c>
      <c r="D51" s="2" t="d">
        <v>2024-03-29</v>
      </c>
      <c r="E51" s="2" t="d">
        <v>2024-04-29</v>
      </c>
      <c r="F51" s="1" t="s">
        <v>74</v>
      </c>
      <c r="G51" s="1">
        <v>-18.32</v>
      </c>
    </row>
    <row r="52" spans="1:7" ht="20" customHeight="1" x14ac:dyDescent="0.2">
      <c r="A52" s="1">
        <f t="shared" si="0"/>
        <v>51</v>
      </c>
      <c r="B52" s="1" t="s">
        <v>52</v>
      </c>
      <c r="C52" s="1" t="s">
        <v>132</v>
      </c>
      <c r="D52" s="2" t="d">
        <v>2025-02-19</v>
      </c>
      <c r="E52" s="2" t="d">
        <v>2025-03-19</v>
      </c>
      <c r="F52" s="1" t="s">
        <v>74</v>
      </c>
      <c r="G52" s="1">
        <v>173.79</v>
      </c>
    </row>
    <row r="53" spans="1:7" ht="20" customHeight="1" x14ac:dyDescent="0.2">
      <c r="A53" s="1">
        <f t="shared" si="0"/>
        <v>52</v>
      </c>
      <c r="B53" s="1" t="s">
        <v>53</v>
      </c>
      <c r="C53" s="1" t="s">
        <v>133</v>
      </c>
      <c r="D53" s="2" t="d">
        <v>2025-04-18</v>
      </c>
      <c r="E53" s="2" t="d">
        <v>2025-05-18</v>
      </c>
      <c r="F53" s="1" t="s">
        <v>74</v>
      </c>
      <c r="G53" s="1">
        <v>212.75</v>
      </c>
    </row>
    <row r="54" spans="1:7" ht="20" customHeight="1" x14ac:dyDescent="0.2">
      <c r="A54" s="1">
        <f t="shared" si="0"/>
        <v>53</v>
      </c>
      <c r="B54" s="1" t="s">
        <v>54</v>
      </c>
      <c r="C54" s="1" t="s">
        <v>134</v>
      </c>
      <c r="D54" s="2" t="d">
        <v>2025-04-20</v>
      </c>
      <c r="E54" s="2" t="d">
        <v>2025-05-20</v>
      </c>
      <c r="F54" s="1" t="s">
        <v>74</v>
      </c>
      <c r="G54" s="1">
        <v>257.39999999999998</v>
      </c>
    </row>
    <row r="55" spans="1:7" ht="20" customHeight="1" x14ac:dyDescent="0.2">
      <c r="A55" s="1">
        <f t="shared" si="0"/>
        <v>54</v>
      </c>
      <c r="B55" s="1" t="s">
        <v>55</v>
      </c>
      <c r="C55" s="1" t="s">
        <v>135</v>
      </c>
      <c r="D55" s="2" t="d">
        <v>2025-05-14</v>
      </c>
      <c r="E55" s="2" t="d">
        <v>2025-06-14</v>
      </c>
      <c r="F55" s="1" t="s">
        <v>74</v>
      </c>
      <c r="G55" s="1">
        <v>158.91</v>
      </c>
    </row>
    <row r="56" spans="1:7" ht="20" customHeight="1" x14ac:dyDescent="0.2">
      <c r="A56" s="1">
        <f t="shared" si="0"/>
        <v>55</v>
      </c>
      <c r="B56" s="1" t="s">
        <v>56</v>
      </c>
      <c r="C56" s="1" t="s">
        <v>136</v>
      </c>
      <c r="D56" s="2" t="d">
        <v>2025-06-06</v>
      </c>
      <c r="E56" s="2" t="d">
        <v>2025-07-06</v>
      </c>
      <c r="F56" s="1" t="s">
        <v>74</v>
      </c>
      <c r="G56" s="1">
        <v>59.92</v>
      </c>
    </row>
    <row r="57" spans="1:7" ht="20" customHeight="1" x14ac:dyDescent="0.2">
      <c r="A57" s="1">
        <f t="shared" si="0"/>
        <v>56</v>
      </c>
      <c r="B57" s="1" t="s">
        <v>57</v>
      </c>
      <c r="C57" s="1" t="s">
        <v>137</v>
      </c>
      <c r="D57" s="2" t="d">
        <v>2025-07-27</v>
      </c>
      <c r="E57" s="2" t="d">
        <v>2025-08-27</v>
      </c>
      <c r="F57" s="1" t="s">
        <v>74</v>
      </c>
      <c r="G57" s="1">
        <v>24.71</v>
      </c>
    </row>
    <row r="58" spans="1:7" ht="20" customHeight="1" x14ac:dyDescent="0.2">
      <c r="A58" s="1">
        <f t="shared" si="0"/>
        <v>57</v>
      </c>
      <c r="B58" s="1" t="s">
        <v>58</v>
      </c>
      <c r="C58" s="1" t="s">
        <v>138</v>
      </c>
      <c r="D58" s="2" t="d">
        <v>2025-07-30</v>
      </c>
      <c r="E58" s="2" t="d">
        <v>2025-08-30</v>
      </c>
      <c r="F58" s="1" t="s">
        <v>74</v>
      </c>
      <c r="G58" s="1">
        <v>-17.71</v>
      </c>
    </row>
    <row r="59" spans="1:7" ht="20" customHeight="1" x14ac:dyDescent="0.2">
      <c r="A59" s="1">
        <f t="shared" si="0"/>
        <v>58</v>
      </c>
      <c r="B59" s="1" t="s">
        <v>59</v>
      </c>
      <c r="C59" s="1" t="s">
        <v>139</v>
      </c>
      <c r="D59" s="2" t="d">
        <v>2025-08-30</v>
      </c>
      <c r="E59" s="2" t="d">
        <v>2025-09-30</v>
      </c>
      <c r="F59" s="1" t="s">
        <v>74</v>
      </c>
      <c r="G59" s="1">
        <v>-15.36</v>
      </c>
    </row>
    <row r="60" spans="1:7" ht="20" customHeight="1" x14ac:dyDescent="0.2">
      <c r="A60" s="1">
        <f t="shared" si="0"/>
        <v>59</v>
      </c>
      <c r="B60" s="1" t="s">
        <v>60</v>
      </c>
      <c r="C60" s="1" t="s">
        <v>140</v>
      </c>
      <c r="D60" s="2" t="d">
        <v>2025-09-11</v>
      </c>
      <c r="E60" s="2" t="d">
        <v>2025-10-11</v>
      </c>
      <c r="F60" s="1" t="s">
        <v>74</v>
      </c>
      <c r="G60" s="1">
        <v>33.07</v>
      </c>
    </row>
    <row r="61" spans="1:7" ht="20" customHeight="1" x14ac:dyDescent="0.2">
      <c r="A61" s="1">
        <f t="shared" si="0"/>
        <v>60</v>
      </c>
      <c r="B61" s="1" t="s">
        <v>61</v>
      </c>
      <c r="C61" s="1" t="s">
        <v>141</v>
      </c>
      <c r="D61" s="2" t="d">
        <v>2025-11-14</v>
      </c>
      <c r="E61" s="2" t="d">
        <v>2025-12-14</v>
      </c>
      <c r="F61" s="1" t="s">
        <v>74</v>
      </c>
      <c r="G61" s="1">
        <v>25.78</v>
      </c>
    </row>
    <row r="62" spans="1:7" ht="20" customHeight="1" x14ac:dyDescent="0.2">
      <c r="A62" s="1">
        <f t="shared" si="0"/>
        <v>61</v>
      </c>
      <c r="B62" s="1" t="s">
        <v>62</v>
      </c>
      <c r="C62" s="1" t="s">
        <v>142</v>
      </c>
      <c r="D62" s="2" t="d">
        <v>2025-11-16</v>
      </c>
      <c r="E62" s="2" t="d">
        <v>2025-12-16</v>
      </c>
      <c r="F62" s="1" t="s">
        <v>74</v>
      </c>
      <c r="G62" s="1">
        <v>12.02</v>
      </c>
    </row>
    <row r="63" spans="1:7" ht="20" customHeight="1" x14ac:dyDescent="0.2">
      <c r="A63" s="1">
        <f t="shared" si="0"/>
        <v>62</v>
      </c>
      <c r="B63" s="1" t="s">
        <v>63</v>
      </c>
      <c r="C63" s="1" t="s">
        <v>143</v>
      </c>
      <c r="D63" s="2" t="d">
        <v>2025-11-19</v>
      </c>
      <c r="E63" s="2" t="d">
        <v>2025-12-19</v>
      </c>
      <c r="F63" s="1" t="s">
        <v>74</v>
      </c>
      <c r="G63" s="1">
        <v>131.18</v>
      </c>
    </row>
    <row r="64" spans="1:7" ht="20" customHeight="1" x14ac:dyDescent="0.2">
      <c r="A64" s="1">
        <f t="shared" si="0"/>
        <v>63</v>
      </c>
      <c r="B64" s="1" t="s">
        <v>64</v>
      </c>
      <c r="C64" s="1" t="s">
        <v>144</v>
      </c>
      <c r="D64" s="2" t="d">
        <v>2025-11-20</v>
      </c>
      <c r="E64" s="2" t="d">
        <v>2025-12-20</v>
      </c>
      <c r="F64" s="1" t="s">
        <v>74</v>
      </c>
      <c r="G64" s="1">
        <v>5.42</v>
      </c>
    </row>
    <row r="65" spans="1:7" ht="20" customHeight="1" x14ac:dyDescent="0.2">
      <c r="A65" s="1">
        <f t="shared" si="0"/>
        <v>64</v>
      </c>
      <c r="B65" s="1" t="s">
        <v>65</v>
      </c>
      <c r="C65" s="1" t="s">
        <v>145</v>
      </c>
      <c r="D65" s="2" t="d">
        <v>2025-11-21</v>
      </c>
      <c r="E65" s="2" t="d">
        <v>2025-12-21</v>
      </c>
      <c r="F65" s="1" t="s">
        <v>74</v>
      </c>
      <c r="G65" s="1">
        <v>11.17</v>
      </c>
    </row>
    <row r="66" spans="1:7" ht="20" customHeight="1" x14ac:dyDescent="0.2">
      <c r="A66" s="1">
        <f t="shared" si="0"/>
        <v>65</v>
      </c>
      <c r="B66" s="1" t="s">
        <v>66</v>
      </c>
      <c r="C66" s="1" t="s">
        <v>146</v>
      </c>
      <c r="D66" s="2" t="d">
        <v>2025-11-21</v>
      </c>
      <c r="E66" s="2" t="d">
        <v>2025-12-21</v>
      </c>
      <c r="F66" s="1" t="s">
        <v>74</v>
      </c>
      <c r="G66" s="1">
        <v>411.92</v>
      </c>
    </row>
    <row r="67" spans="1:7" ht="20" customHeight="1" x14ac:dyDescent="0.2">
      <c r="A67" s="1">
        <f t="shared" ref="A67:A71" si="1">ROW()-1</f>
        <v>66</v>
      </c>
      <c r="B67" s="1" t="s">
        <v>67</v>
      </c>
      <c r="C67" s="1" t="s">
        <v>147</v>
      </c>
      <c r="D67" s="2" t="d">
        <v>2025-11-26</v>
      </c>
      <c r="E67" s="2" t="d">
        <v>2025-12-26</v>
      </c>
      <c r="F67" s="1" t="s">
        <v>74</v>
      </c>
      <c r="G67" s="1">
        <v>84.46</v>
      </c>
    </row>
    <row r="68" spans="1:7" ht="20" customHeight="1" x14ac:dyDescent="0.2">
      <c r="A68" s="1">
        <f t="shared" si="1"/>
        <v>67</v>
      </c>
      <c r="B68" s="1" t="s">
        <v>68</v>
      </c>
      <c r="C68" s="1" t="s">
        <v>148</v>
      </c>
      <c r="D68" s="2" t="d">
        <v>2025-12-04</v>
      </c>
      <c r="E68" s="2" t="d">
        <v>2026-01-04</v>
      </c>
      <c r="F68" s="1" t="s">
        <v>74</v>
      </c>
      <c r="G68" s="1">
        <v>32.18</v>
      </c>
    </row>
    <row r="69" spans="1:7" ht="20" customHeight="1" x14ac:dyDescent="0.2">
      <c r="A69" s="1">
        <f t="shared" si="1"/>
        <v>68</v>
      </c>
      <c r="B69" s="1" t="s">
        <v>69</v>
      </c>
      <c r="C69" s="1" t="s">
        <v>149</v>
      </c>
      <c r="D69" s="2" t="d">
        <v>2025-12-20</v>
      </c>
      <c r="E69" s="2" t="d">
        <v>2026-01-20</v>
      </c>
      <c r="F69" s="1" t="s">
        <v>74</v>
      </c>
      <c r="G69" s="1">
        <v>127.8</v>
      </c>
    </row>
    <row r="70" spans="1:7" ht="20" customHeight="1" x14ac:dyDescent="0.2">
      <c r="A70" s="1">
        <f t="shared" si="1"/>
        <v>69</v>
      </c>
      <c r="B70" s="1" t="s">
        <v>70</v>
      </c>
      <c r="C70" s="1" t="s">
        <v>70</v>
      </c>
      <c r="D70" s="2" t="d">
        <v>2026-02-26</v>
      </c>
      <c r="E70" s="2" t="d">
        <v>2026-03-26</v>
      </c>
      <c r="F70" s="1" t="s">
        <v>74</v>
      </c>
      <c r="G70" s="1">
        <v>9.64</v>
      </c>
    </row>
    <row r="71" spans="1:7" ht="20" customHeight="1" x14ac:dyDescent="0.2">
      <c r="A71" s="1">
        <f t="shared" si="1"/>
        <v>70</v>
      </c>
      <c r="B71" s="1" t="s">
        <v>71</v>
      </c>
      <c r="C71" s="1" t="s">
        <v>150</v>
      </c>
      <c r="D71" s="2" t="d">
        <v>2026-02-26</v>
      </c>
      <c r="E71" s="2" t="d">
        <v>2026-03-26</v>
      </c>
      <c r="F71" s="3" t="s">
        <v>74</v>
      </c>
      <c r="G71" s="3">
        <v>187.94</v>
      </c>
    </row>
    <row r="72" spans="1:7" ht="20" customHeight="1" x14ac:dyDescent="0.2">
      <c r="F72" s="20" t="s">
        <v>151</v>
      </c>
      <c r="G72" s="21">
        <f>AVERAGE(G2:G71)</f>
        <v>44.838000000000001</v>
      </c>
    </row>
    <row r="73" spans="1:7" ht="20" customHeight="1" x14ac:dyDescent="0.2">
      <c r="F73" s="20" t="s">
        <v>152</v>
      </c>
      <c r="G73" s="21">
        <f>((1+G72/100)^(365/30)-1)*100</f>
        <v>8965.7551178180165</v>
      </c>
    </row>
    <row r="74" spans="1:7" x14ac:dyDescent="0.2">
      <c r="F74" s="20" t="s">
        <v>166</v>
      </c>
      <c r="G74" s="21">
        <f>MEDIAN(G2:G71)</f>
        <v>8.7199999999999989</v>
      </c>
    </row>
    <row r="76" spans="1:7" x14ac:dyDescent="0.2">
      <c r="E76" s="23" t="s">
        <v>168</v>
      </c>
      <c r="F76">
        <v>27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tabSelected="1" topLeftCell="A70" zoomScale="140" zoomScaleNormal="140" workbookViewId="0">
      <selection activeCell="C78" sqref="C78"/>
    </sheetView>
  </sheetViews>
  <sheetFormatPr baseColWidth="10" defaultRowHeight="16" x14ac:dyDescent="0.2"/>
  <cols>
    <col min="1" max="1" width="3.1640625" bestFit="1" customWidth="1"/>
    <col min="2" max="2" width="9.1640625" bestFit="1" customWidth="1"/>
    <col min="3" max="3" width="44" bestFit="1" customWidth="1"/>
    <col min="4" max="4" width="11.5" bestFit="1" customWidth="1"/>
    <col min="5" max="5" width="12" bestFit="1" customWidth="1"/>
    <col min="6" max="6" width="12.5" bestFit="1" customWidth="1"/>
    <col min="7" max="7" width="14.33203125" bestFit="1" customWidth="1"/>
  </cols>
  <sheetData>
    <row r="1" spans="1:7" ht="35" customHeight="1" x14ac:dyDescent="0.2">
      <c r="A1" s="4" t="s">
        <v>0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72</v>
      </c>
      <c r="G1" s="4" t="s">
        <v>81</v>
      </c>
    </row>
    <row r="2" spans="1:7" ht="20" customHeight="1" x14ac:dyDescent="0.2">
      <c r="A2" s="1">
        <f>ROW()-1</f>
        <v>1</v>
      </c>
      <c r="B2" s="1" t="s">
        <v>2</v>
      </c>
      <c r="C2" s="1" t="s">
        <v>82</v>
      </c>
      <c r="D2" s="2" t="d">
        <v>2022-10-26</v>
      </c>
      <c r="E2" s="2" t="d">
        <v>2022-12-10</v>
      </c>
      <c r="F2" s="1" t="s">
        <v>72</v>
      </c>
      <c r="G2" s="1">
        <v>-4.05</v>
      </c>
    </row>
    <row r="3" spans="1:7" ht="20" customHeight="1" x14ac:dyDescent="0.2">
      <c r="A3" s="1">
        <f t="shared" ref="A3:A66" si="0">ROW()-1</f>
        <v>2</v>
      </c>
      <c r="B3" s="1" t="s">
        <v>3</v>
      </c>
      <c r="C3" s="1" t="s">
        <v>83</v>
      </c>
      <c r="D3" s="2" t="d">
        <v>2022-10-27</v>
      </c>
      <c r="E3" s="2" t="d">
        <v>2022-12-11</v>
      </c>
      <c r="F3" s="1" t="s">
        <v>72</v>
      </c>
      <c r="G3" s="1">
        <v>11.64</v>
      </c>
    </row>
    <row r="4" spans="1:7" ht="20" customHeight="1" x14ac:dyDescent="0.2">
      <c r="A4" s="1">
        <f t="shared" si="0"/>
        <v>3</v>
      </c>
      <c r="B4" s="1" t="s">
        <v>4</v>
      </c>
      <c r="C4" s="1" t="s">
        <v>84</v>
      </c>
      <c r="D4" s="2" t="d">
        <v>2022-11-25</v>
      </c>
      <c r="E4" s="2" t="d">
        <v>2023-01-09</v>
      </c>
      <c r="F4" s="1" t="s">
        <v>72</v>
      </c>
      <c r="G4" s="1">
        <v>24.76</v>
      </c>
    </row>
    <row r="5" spans="1:7" ht="20" customHeight="1" x14ac:dyDescent="0.2">
      <c r="A5" s="1">
        <f t="shared" si="0"/>
        <v>4</v>
      </c>
      <c r="B5" s="1" t="s">
        <v>5</v>
      </c>
      <c r="C5" s="1" t="s">
        <v>85</v>
      </c>
      <c r="D5" s="2" t="d">
        <v>2022-12-24</v>
      </c>
      <c r="E5" s="2" t="d">
        <v>2023-02-07</v>
      </c>
      <c r="F5" s="1" t="s">
        <v>72</v>
      </c>
      <c r="G5" s="1">
        <v>52.1</v>
      </c>
    </row>
    <row r="6" spans="1:7" ht="20" customHeight="1" x14ac:dyDescent="0.2">
      <c r="A6" s="1">
        <f t="shared" si="0"/>
        <v>5</v>
      </c>
      <c r="B6" s="1" t="s">
        <v>6</v>
      </c>
      <c r="C6" s="1" t="s">
        <v>86</v>
      </c>
      <c r="D6" s="2" t="d">
        <v>2022-12-24</v>
      </c>
      <c r="E6" s="2" t="d">
        <v>2023-02-07</v>
      </c>
      <c r="F6" s="1" t="s">
        <v>72</v>
      </c>
      <c r="G6" s="1">
        <v>90.49</v>
      </c>
    </row>
    <row r="7" spans="1:7" ht="20" customHeight="1" x14ac:dyDescent="0.2">
      <c r="A7" s="1">
        <f t="shared" si="0"/>
        <v>6</v>
      </c>
      <c r="B7" s="1" t="s">
        <v>7</v>
      </c>
      <c r="C7" s="1" t="s">
        <v>87</v>
      </c>
      <c r="D7" s="2" t="d">
        <v>2022-12-30</v>
      </c>
      <c r="E7" s="2" t="d">
        <v>2023-02-13</v>
      </c>
      <c r="F7" s="1" t="s">
        <v>72</v>
      </c>
      <c r="G7" s="1">
        <v>13.31</v>
      </c>
    </row>
    <row r="8" spans="1:7" ht="20" customHeight="1" x14ac:dyDescent="0.2">
      <c r="A8" s="1">
        <f t="shared" si="0"/>
        <v>7</v>
      </c>
      <c r="B8" s="1" t="s">
        <v>8</v>
      </c>
      <c r="C8" s="1" t="s">
        <v>88</v>
      </c>
      <c r="D8" s="2" t="d">
        <v>2023-01-14</v>
      </c>
      <c r="E8" s="2" t="d">
        <v>2023-02-28</v>
      </c>
      <c r="F8" s="1" t="s">
        <v>72</v>
      </c>
      <c r="G8" s="1">
        <v>50.19</v>
      </c>
    </row>
    <row r="9" spans="1:7" ht="20" customHeight="1" x14ac:dyDescent="0.2">
      <c r="A9" s="1">
        <f t="shared" si="0"/>
        <v>8</v>
      </c>
      <c r="B9" s="1" t="s">
        <v>9</v>
      </c>
      <c r="C9" s="1" t="s">
        <v>89</v>
      </c>
      <c r="D9" s="2" t="d">
        <v>2023-03-15</v>
      </c>
      <c r="E9" s="2" t="d">
        <v>2023-04-29</v>
      </c>
      <c r="F9" s="1" t="s">
        <v>72</v>
      </c>
      <c r="G9" s="1">
        <v>3.02</v>
      </c>
    </row>
    <row r="10" spans="1:7" ht="20" customHeight="1" x14ac:dyDescent="0.2">
      <c r="A10" s="1">
        <f t="shared" si="0"/>
        <v>9</v>
      </c>
      <c r="B10" s="1" t="s">
        <v>10</v>
      </c>
      <c r="C10" s="1" t="s">
        <v>90</v>
      </c>
      <c r="D10" s="2" t="d">
        <v>2023-03-17</v>
      </c>
      <c r="E10" s="2" t="d">
        <v>2023-05-01</v>
      </c>
      <c r="F10" s="1" t="s">
        <v>72</v>
      </c>
      <c r="G10" s="1">
        <v>-6.99</v>
      </c>
    </row>
    <row r="11" spans="1:7" ht="20" customHeight="1" x14ac:dyDescent="0.2">
      <c r="A11" s="1">
        <f t="shared" si="0"/>
        <v>10</v>
      </c>
      <c r="B11" s="1" t="s">
        <v>11</v>
      </c>
      <c r="C11" s="1" t="s">
        <v>91</v>
      </c>
      <c r="D11" s="2" t="d">
        <v>2023-04-01</v>
      </c>
      <c r="E11" s="2" t="d">
        <v>2023-05-16</v>
      </c>
      <c r="F11" s="1" t="s">
        <v>72</v>
      </c>
      <c r="G11" s="1">
        <v>-22.08</v>
      </c>
    </row>
    <row r="12" spans="1:7" ht="20" customHeight="1" x14ac:dyDescent="0.2">
      <c r="A12" s="1">
        <f t="shared" si="0"/>
        <v>11</v>
      </c>
      <c r="B12" s="1" t="s">
        <v>12</v>
      </c>
      <c r="C12" s="1" t="s">
        <v>92</v>
      </c>
      <c r="D12" s="2" t="d">
        <v>2023-04-02</v>
      </c>
      <c r="E12" s="2" t="d">
        <v>2023-05-17</v>
      </c>
      <c r="F12" s="1" t="s">
        <v>72</v>
      </c>
      <c r="G12" s="1">
        <v>-19.850000000000001</v>
      </c>
    </row>
    <row r="13" spans="1:7" ht="20" customHeight="1" x14ac:dyDescent="0.2">
      <c r="A13" s="1">
        <f t="shared" si="0"/>
        <v>12</v>
      </c>
      <c r="B13" s="1" t="s">
        <v>13</v>
      </c>
      <c r="C13" s="1" t="s">
        <v>93</v>
      </c>
      <c r="D13" s="2" t="d">
        <v>2023-04-02</v>
      </c>
      <c r="E13" s="2" t="d">
        <v>2023-05-17</v>
      </c>
      <c r="F13" s="1" t="s">
        <v>72</v>
      </c>
      <c r="G13" s="1">
        <v>240.5</v>
      </c>
    </row>
    <row r="14" spans="1:7" ht="20" customHeight="1" x14ac:dyDescent="0.2">
      <c r="A14" s="1">
        <f t="shared" si="0"/>
        <v>13</v>
      </c>
      <c r="B14" s="1" t="s">
        <v>14</v>
      </c>
      <c r="C14" s="1" t="s">
        <v>94</v>
      </c>
      <c r="D14" s="2" t="d">
        <v>2023-04-06</v>
      </c>
      <c r="E14" s="2" t="d">
        <v>2023-05-21</v>
      </c>
      <c r="F14" s="1" t="s">
        <v>72</v>
      </c>
      <c r="G14" s="1">
        <v>-6.29</v>
      </c>
    </row>
    <row r="15" spans="1:7" ht="20" customHeight="1" x14ac:dyDescent="0.2">
      <c r="A15" s="1">
        <f t="shared" si="0"/>
        <v>14</v>
      </c>
      <c r="B15" s="1" t="s">
        <v>15</v>
      </c>
      <c r="C15" s="1" t="s">
        <v>95</v>
      </c>
      <c r="D15" s="2" t="d">
        <v>2023-04-20</v>
      </c>
      <c r="E15" s="2" t="d">
        <v>2023-06-04</v>
      </c>
      <c r="F15" s="1" t="s">
        <v>72</v>
      </c>
      <c r="G15" s="1">
        <v>-12.14</v>
      </c>
    </row>
    <row r="16" spans="1:7" ht="20" customHeight="1" x14ac:dyDescent="0.2">
      <c r="A16" s="1">
        <f t="shared" si="0"/>
        <v>15</v>
      </c>
      <c r="B16" s="1" t="s">
        <v>16</v>
      </c>
      <c r="C16" s="1" t="s">
        <v>96</v>
      </c>
      <c r="D16" s="2" t="d">
        <v>2023-04-23</v>
      </c>
      <c r="E16" s="2" t="d">
        <v>2023-06-07</v>
      </c>
      <c r="F16" s="1" t="s">
        <v>72</v>
      </c>
      <c r="G16" s="1">
        <v>-7.09</v>
      </c>
    </row>
    <row r="17" spans="1:7" ht="20" customHeight="1" x14ac:dyDescent="0.2">
      <c r="A17" s="1">
        <f t="shared" si="0"/>
        <v>16</v>
      </c>
      <c r="B17" s="1" t="s">
        <v>17</v>
      </c>
      <c r="C17" s="1" t="s">
        <v>97</v>
      </c>
      <c r="D17" s="2" t="d">
        <v>2023-04-23</v>
      </c>
      <c r="E17" s="2" t="d">
        <v>2023-06-07</v>
      </c>
      <c r="F17" s="1" t="s">
        <v>72</v>
      </c>
      <c r="G17" s="1">
        <v>-3.36</v>
      </c>
    </row>
    <row r="18" spans="1:7" ht="20" customHeight="1" x14ac:dyDescent="0.2">
      <c r="A18" s="1">
        <f t="shared" si="0"/>
        <v>17</v>
      </c>
      <c r="B18" s="1" t="s">
        <v>18</v>
      </c>
      <c r="C18" s="1" t="s">
        <v>98</v>
      </c>
      <c r="D18" s="2" t="d">
        <v>2023-05-12</v>
      </c>
      <c r="E18" s="2" t="d">
        <v>2023-06-26</v>
      </c>
      <c r="F18" s="1" t="s">
        <v>72</v>
      </c>
      <c r="G18" s="1">
        <v>231.45</v>
      </c>
    </row>
    <row r="19" spans="1:7" ht="20" customHeight="1" x14ac:dyDescent="0.2">
      <c r="A19" s="1">
        <f t="shared" si="0"/>
        <v>18</v>
      </c>
      <c r="B19" s="1" t="s">
        <v>19</v>
      </c>
      <c r="C19" s="1" t="s">
        <v>99</v>
      </c>
      <c r="D19" s="2" t="d">
        <v>2023-05-17</v>
      </c>
      <c r="E19" s="2" t="d">
        <v>2023-07-01</v>
      </c>
      <c r="F19" s="1" t="s">
        <v>72</v>
      </c>
      <c r="G19" s="1">
        <v>18.899999999999999</v>
      </c>
    </row>
    <row r="20" spans="1:7" ht="20" customHeight="1" x14ac:dyDescent="0.2">
      <c r="A20" s="1">
        <f t="shared" si="0"/>
        <v>19</v>
      </c>
      <c r="B20" s="1" t="s">
        <v>20</v>
      </c>
      <c r="C20" s="1" t="s">
        <v>100</v>
      </c>
      <c r="D20" s="2" t="d">
        <v>2023-05-26</v>
      </c>
      <c r="E20" s="2" t="d">
        <v>2023-07-10</v>
      </c>
      <c r="F20" s="1" t="s">
        <v>72</v>
      </c>
      <c r="G20" s="1">
        <v>-4.5</v>
      </c>
    </row>
    <row r="21" spans="1:7" ht="20" customHeight="1" x14ac:dyDescent="0.2">
      <c r="A21" s="1">
        <f t="shared" si="0"/>
        <v>20</v>
      </c>
      <c r="B21" s="1" t="s">
        <v>21</v>
      </c>
      <c r="C21" s="1" t="s">
        <v>101</v>
      </c>
      <c r="D21" s="2" t="d">
        <v>2023-06-18</v>
      </c>
      <c r="E21" s="2" t="d">
        <v>2023-08-02</v>
      </c>
      <c r="F21" s="1" t="s">
        <v>72</v>
      </c>
      <c r="G21" s="1">
        <v>-24.94</v>
      </c>
    </row>
    <row r="22" spans="1:7" ht="20" customHeight="1" x14ac:dyDescent="0.2">
      <c r="A22" s="1">
        <f t="shared" si="0"/>
        <v>21</v>
      </c>
      <c r="B22" s="1" t="s">
        <v>22</v>
      </c>
      <c r="C22" s="1" t="s">
        <v>102</v>
      </c>
      <c r="D22" s="2" t="d">
        <v>2023-06-18</v>
      </c>
      <c r="E22" s="2" t="d">
        <v>2023-08-02</v>
      </c>
      <c r="F22" s="1" t="s">
        <v>72</v>
      </c>
      <c r="G22" s="1">
        <v>-23.26</v>
      </c>
    </row>
    <row r="23" spans="1:7" ht="20" customHeight="1" x14ac:dyDescent="0.2">
      <c r="A23" s="1">
        <f t="shared" si="0"/>
        <v>22</v>
      </c>
      <c r="B23" s="1" t="s">
        <v>23</v>
      </c>
      <c r="C23" s="1" t="s">
        <v>103</v>
      </c>
      <c r="D23" s="2" t="d">
        <v>2023-06-21</v>
      </c>
      <c r="E23" s="2" t="d">
        <v>2023-08-05</v>
      </c>
      <c r="F23" s="1" t="s">
        <v>72</v>
      </c>
      <c r="G23" s="1">
        <v>170.12</v>
      </c>
    </row>
    <row r="24" spans="1:7" ht="20" customHeight="1" x14ac:dyDescent="0.2">
      <c r="A24" s="1">
        <f t="shared" si="0"/>
        <v>23</v>
      </c>
      <c r="B24" s="1" t="s">
        <v>24</v>
      </c>
      <c r="C24" s="1" t="s">
        <v>104</v>
      </c>
      <c r="D24" s="2" t="d">
        <v>2023-06-28</v>
      </c>
      <c r="E24" s="2" t="d">
        <v>2023-08-12</v>
      </c>
      <c r="F24" s="1" t="s">
        <v>72</v>
      </c>
      <c r="G24" s="1">
        <v>-14.34</v>
      </c>
    </row>
    <row r="25" spans="1:7" ht="20" customHeight="1" x14ac:dyDescent="0.2">
      <c r="A25" s="1">
        <f t="shared" si="0"/>
        <v>24</v>
      </c>
      <c r="B25" s="1" t="s">
        <v>25</v>
      </c>
      <c r="C25" s="1" t="s">
        <v>105</v>
      </c>
      <c r="D25" s="2" t="d">
        <v>2023-06-30</v>
      </c>
      <c r="E25" s="2" t="d">
        <v>2023-08-14</v>
      </c>
      <c r="F25" s="1" t="s">
        <v>72</v>
      </c>
      <c r="G25" s="1">
        <v>-22.66</v>
      </c>
    </row>
    <row r="26" spans="1:7" ht="20" customHeight="1" x14ac:dyDescent="0.2">
      <c r="A26" s="1">
        <f t="shared" si="0"/>
        <v>25</v>
      </c>
      <c r="B26" s="1" t="s">
        <v>26</v>
      </c>
      <c r="C26" s="1" t="s">
        <v>106</v>
      </c>
      <c r="D26" s="2" t="d">
        <v>2023-07-15</v>
      </c>
      <c r="E26" s="2" t="d">
        <v>2023-08-29</v>
      </c>
      <c r="F26" s="1" t="s">
        <v>72</v>
      </c>
      <c r="G26" s="1">
        <v>-20</v>
      </c>
    </row>
    <row r="27" spans="1:7" ht="20" customHeight="1" x14ac:dyDescent="0.2">
      <c r="A27" s="1">
        <f t="shared" si="0"/>
        <v>26</v>
      </c>
      <c r="B27" s="1" t="s">
        <v>27</v>
      </c>
      <c r="C27" s="1" t="s">
        <v>107</v>
      </c>
      <c r="D27" s="2" t="d">
        <v>2023-07-15</v>
      </c>
      <c r="E27" s="2" t="d">
        <v>2023-08-29</v>
      </c>
      <c r="F27" s="1" t="s">
        <v>72</v>
      </c>
      <c r="G27" s="1">
        <v>-12.23</v>
      </c>
    </row>
    <row r="28" spans="1:7" ht="20" customHeight="1" x14ac:dyDescent="0.2">
      <c r="A28" s="1">
        <f t="shared" si="0"/>
        <v>27</v>
      </c>
      <c r="B28" s="1" t="s">
        <v>28</v>
      </c>
      <c r="C28" s="1" t="s">
        <v>108</v>
      </c>
      <c r="D28" s="2" t="d">
        <v>2023-08-16</v>
      </c>
      <c r="E28" s="2" t="d">
        <v>2023-09-30</v>
      </c>
      <c r="F28" s="1" t="s">
        <v>72</v>
      </c>
      <c r="G28" s="1">
        <v>-7.7</v>
      </c>
    </row>
    <row r="29" spans="1:7" ht="20" customHeight="1" x14ac:dyDescent="0.2">
      <c r="A29" s="1">
        <f t="shared" si="0"/>
        <v>28</v>
      </c>
      <c r="B29" s="1" t="s">
        <v>29</v>
      </c>
      <c r="C29" s="1" t="s">
        <v>109</v>
      </c>
      <c r="D29" s="2" t="d">
        <v>2023-08-16</v>
      </c>
      <c r="E29" s="2" t="d">
        <v>2023-09-30</v>
      </c>
      <c r="F29" s="1" t="s">
        <v>72</v>
      </c>
      <c r="G29" s="1">
        <v>-8.27</v>
      </c>
    </row>
    <row r="30" spans="1:7" ht="20" customHeight="1" x14ac:dyDescent="0.2">
      <c r="A30" s="1">
        <f t="shared" si="0"/>
        <v>29</v>
      </c>
      <c r="B30" s="1" t="s">
        <v>30</v>
      </c>
      <c r="C30" s="1" t="s">
        <v>110</v>
      </c>
      <c r="D30" s="2" t="d">
        <v>2023-08-23</v>
      </c>
      <c r="E30" s="2" t="d">
        <v>2023-10-07</v>
      </c>
      <c r="F30" s="1" t="s">
        <v>72</v>
      </c>
      <c r="G30" s="1">
        <v>-10.39</v>
      </c>
    </row>
    <row r="31" spans="1:7" ht="20" customHeight="1" x14ac:dyDescent="0.2">
      <c r="A31" s="1">
        <f t="shared" si="0"/>
        <v>30</v>
      </c>
      <c r="B31" s="1" t="s">
        <v>31</v>
      </c>
      <c r="C31" s="1" t="s">
        <v>111</v>
      </c>
      <c r="D31" s="2" t="d">
        <v>2023-08-23</v>
      </c>
      <c r="E31" s="2" t="d">
        <v>2023-10-07</v>
      </c>
      <c r="F31" s="1" t="s">
        <v>72</v>
      </c>
      <c r="G31" s="1">
        <v>42.86</v>
      </c>
    </row>
    <row r="32" spans="1:7" ht="20" customHeight="1" x14ac:dyDescent="0.2">
      <c r="A32" s="1">
        <f t="shared" si="0"/>
        <v>31</v>
      </c>
      <c r="B32" s="1" t="s">
        <v>32</v>
      </c>
      <c r="C32" s="1" t="s">
        <v>112</v>
      </c>
      <c r="D32" s="2" t="d">
        <v>2023-08-23</v>
      </c>
      <c r="E32" s="2" t="d">
        <v>2023-10-07</v>
      </c>
      <c r="F32" s="1" t="s">
        <v>72</v>
      </c>
      <c r="G32" s="1">
        <v>16.100000000000001</v>
      </c>
    </row>
    <row r="33" spans="1:7" ht="20" customHeight="1" x14ac:dyDescent="0.2">
      <c r="A33" s="1">
        <f t="shared" si="0"/>
        <v>32</v>
      </c>
      <c r="B33" s="1" t="s">
        <v>33</v>
      </c>
      <c r="C33" s="1" t="s">
        <v>113</v>
      </c>
      <c r="D33" s="2" t="d">
        <v>2023-08-31</v>
      </c>
      <c r="E33" s="2" t="d">
        <v>2023-10-15</v>
      </c>
      <c r="F33" s="1" t="s">
        <v>72</v>
      </c>
      <c r="G33" s="1">
        <v>-4.21</v>
      </c>
    </row>
    <row r="34" spans="1:7" ht="20" customHeight="1" x14ac:dyDescent="0.2">
      <c r="A34" s="1">
        <f t="shared" si="0"/>
        <v>33</v>
      </c>
      <c r="B34" s="1" t="s">
        <v>34</v>
      </c>
      <c r="C34" s="1" t="s">
        <v>114</v>
      </c>
      <c r="D34" s="2" t="d">
        <v>2023-09-27</v>
      </c>
      <c r="E34" s="2" t="d">
        <v>2023-11-11</v>
      </c>
      <c r="F34" s="1" t="s">
        <v>72</v>
      </c>
      <c r="G34" s="1">
        <v>-13.36</v>
      </c>
    </row>
    <row r="35" spans="1:7" ht="20" customHeight="1" x14ac:dyDescent="0.2">
      <c r="A35" s="1">
        <f t="shared" si="0"/>
        <v>34</v>
      </c>
      <c r="B35" s="1" t="s">
        <v>35</v>
      </c>
      <c r="C35" s="1" t="s">
        <v>115</v>
      </c>
      <c r="D35" s="2" t="d">
        <v>2023-10-01</v>
      </c>
      <c r="E35" s="2" t="d">
        <v>2023-11-15</v>
      </c>
      <c r="F35" s="1" t="s">
        <v>72</v>
      </c>
      <c r="G35" s="1">
        <v>-8.06</v>
      </c>
    </row>
    <row r="36" spans="1:7" ht="20" customHeight="1" x14ac:dyDescent="0.2">
      <c r="A36" s="1">
        <f t="shared" si="0"/>
        <v>35</v>
      </c>
      <c r="B36" s="1" t="s">
        <v>36</v>
      </c>
      <c r="C36" s="1" t="s">
        <v>116</v>
      </c>
      <c r="D36" s="2" t="d">
        <v>2023-10-05</v>
      </c>
      <c r="E36" s="2" t="d">
        <v>2023-11-19</v>
      </c>
      <c r="F36" s="1" t="s">
        <v>72</v>
      </c>
      <c r="G36" s="1">
        <v>-17.75</v>
      </c>
    </row>
    <row r="37" spans="1:7" ht="20" customHeight="1" x14ac:dyDescent="0.2">
      <c r="A37" s="1">
        <f t="shared" si="0"/>
        <v>36</v>
      </c>
      <c r="B37" s="1" t="s">
        <v>37</v>
      </c>
      <c r="C37" s="1" t="s">
        <v>117</v>
      </c>
      <c r="D37" s="2" t="d">
        <v>2023-10-05</v>
      </c>
      <c r="E37" s="2" t="d">
        <v>2023-11-19</v>
      </c>
      <c r="F37" s="1" t="s">
        <v>72</v>
      </c>
      <c r="G37" s="1">
        <v>-6.98</v>
      </c>
    </row>
    <row r="38" spans="1:7" ht="20" customHeight="1" x14ac:dyDescent="0.2">
      <c r="A38" s="1">
        <f t="shared" si="0"/>
        <v>37</v>
      </c>
      <c r="B38" s="1" t="s">
        <v>38</v>
      </c>
      <c r="C38" s="1" t="s">
        <v>118</v>
      </c>
      <c r="D38" s="2" t="d">
        <v>2023-10-11</v>
      </c>
      <c r="E38" s="2" t="d">
        <v>2023-11-25</v>
      </c>
      <c r="F38" s="1" t="s">
        <v>72</v>
      </c>
      <c r="G38" s="1">
        <v>3.04</v>
      </c>
    </row>
    <row r="39" spans="1:7" ht="20" customHeight="1" x14ac:dyDescent="0.2">
      <c r="A39" s="1">
        <f t="shared" si="0"/>
        <v>38</v>
      </c>
      <c r="B39" s="1" t="s">
        <v>39</v>
      </c>
      <c r="C39" s="1" t="s">
        <v>119</v>
      </c>
      <c r="D39" s="2" t="d">
        <v>2023-10-21</v>
      </c>
      <c r="E39" s="2" t="d">
        <v>2023-12-05</v>
      </c>
      <c r="F39" s="1" t="s">
        <v>72</v>
      </c>
      <c r="G39" s="1">
        <v>14.95</v>
      </c>
    </row>
    <row r="40" spans="1:7" ht="20" customHeight="1" x14ac:dyDescent="0.2">
      <c r="A40" s="1">
        <f t="shared" si="0"/>
        <v>39</v>
      </c>
      <c r="B40" s="1" t="s">
        <v>40</v>
      </c>
      <c r="C40" s="1" t="s">
        <v>120</v>
      </c>
      <c r="D40" s="2" t="d">
        <v>2023-10-21</v>
      </c>
      <c r="E40" s="2" t="d">
        <v>2023-12-05</v>
      </c>
      <c r="F40" s="1" t="s">
        <v>72</v>
      </c>
      <c r="G40" s="1">
        <v>40.700000000000003</v>
      </c>
    </row>
    <row r="41" spans="1:7" ht="20" customHeight="1" x14ac:dyDescent="0.2">
      <c r="A41" s="1">
        <f t="shared" si="0"/>
        <v>40</v>
      </c>
      <c r="B41" s="1" t="s">
        <v>41</v>
      </c>
      <c r="C41" s="1" t="s">
        <v>121</v>
      </c>
      <c r="D41" s="2" t="d">
        <v>2023-10-22</v>
      </c>
      <c r="E41" s="2" t="d">
        <v>2023-12-06</v>
      </c>
      <c r="F41" s="1" t="s">
        <v>72</v>
      </c>
      <c r="G41" s="1">
        <v>18.45</v>
      </c>
    </row>
    <row r="42" spans="1:7" ht="20" customHeight="1" x14ac:dyDescent="0.2">
      <c r="A42" s="1">
        <f t="shared" si="0"/>
        <v>41</v>
      </c>
      <c r="B42" s="1" t="s">
        <v>42</v>
      </c>
      <c r="C42" s="1" t="s">
        <v>122</v>
      </c>
      <c r="D42" s="2" t="d">
        <v>2023-10-22</v>
      </c>
      <c r="E42" s="2" t="d">
        <v>2023-12-06</v>
      </c>
      <c r="F42" s="1" t="s">
        <v>72</v>
      </c>
      <c r="G42" s="1">
        <v>9.18</v>
      </c>
    </row>
    <row r="43" spans="1:7" ht="20" customHeight="1" x14ac:dyDescent="0.2">
      <c r="A43" s="1">
        <f t="shared" si="0"/>
        <v>42</v>
      </c>
      <c r="B43" s="1" t="s">
        <v>43</v>
      </c>
      <c r="C43" s="1" t="s">
        <v>123</v>
      </c>
      <c r="D43" s="2" t="d">
        <v>2023-11-08</v>
      </c>
      <c r="E43" s="2" t="d">
        <v>2023-12-23</v>
      </c>
      <c r="F43" s="1" t="s">
        <v>72</v>
      </c>
      <c r="G43" s="1">
        <v>68.86</v>
      </c>
    </row>
    <row r="44" spans="1:7" ht="20" customHeight="1" x14ac:dyDescent="0.2">
      <c r="A44" s="1">
        <f t="shared" si="0"/>
        <v>43</v>
      </c>
      <c r="B44" s="1" t="s">
        <v>44</v>
      </c>
      <c r="C44" s="1" t="s">
        <v>124</v>
      </c>
      <c r="D44" s="2" t="d">
        <v>2023-11-30</v>
      </c>
      <c r="E44" s="2" t="d">
        <v>2024-01-14</v>
      </c>
      <c r="F44" s="1" t="s">
        <v>72</v>
      </c>
      <c r="G44" s="1">
        <v>58.1</v>
      </c>
    </row>
    <row r="45" spans="1:7" ht="20" customHeight="1" x14ac:dyDescent="0.2">
      <c r="A45" s="1">
        <f t="shared" si="0"/>
        <v>44</v>
      </c>
      <c r="B45" s="1" t="s">
        <v>45</v>
      </c>
      <c r="C45" s="1" t="s">
        <v>125</v>
      </c>
      <c r="D45" s="2" t="d">
        <v>2023-12-17</v>
      </c>
      <c r="E45" s="2" t="d">
        <v>2024-01-31</v>
      </c>
      <c r="F45" s="1" t="s">
        <v>72</v>
      </c>
      <c r="G45" s="1">
        <v>63.32</v>
      </c>
    </row>
    <row r="46" spans="1:7" ht="20" customHeight="1" x14ac:dyDescent="0.2">
      <c r="A46" s="1">
        <f t="shared" si="0"/>
        <v>45</v>
      </c>
      <c r="B46" s="1" t="s">
        <v>46</v>
      </c>
      <c r="C46" s="1" t="s">
        <v>126</v>
      </c>
      <c r="D46" s="2" t="d">
        <v>2023-12-24</v>
      </c>
      <c r="E46" s="2" t="d">
        <v>2024-02-07</v>
      </c>
      <c r="F46" s="1" t="s">
        <v>72</v>
      </c>
      <c r="G46" s="1">
        <v>170.48</v>
      </c>
    </row>
    <row r="47" spans="1:7" ht="20" customHeight="1" x14ac:dyDescent="0.2">
      <c r="A47" s="1">
        <f t="shared" si="0"/>
        <v>46</v>
      </c>
      <c r="B47" s="1" t="s">
        <v>47</v>
      </c>
      <c r="C47" s="1" t="s">
        <v>127</v>
      </c>
      <c r="D47" s="2" t="d">
        <v>2023-12-31</v>
      </c>
      <c r="E47" s="2" t="d">
        <v>2024-02-14</v>
      </c>
      <c r="F47" s="1" t="s">
        <v>72</v>
      </c>
      <c r="G47" s="1">
        <v>14.06</v>
      </c>
    </row>
    <row r="48" spans="1:7" ht="20" customHeight="1" x14ac:dyDescent="0.2">
      <c r="A48" s="1">
        <f t="shared" si="0"/>
        <v>47</v>
      </c>
      <c r="B48" s="1" t="s">
        <v>48</v>
      </c>
      <c r="C48" s="1" t="s">
        <v>128</v>
      </c>
      <c r="D48" s="2" t="d">
        <v>2023-12-31</v>
      </c>
      <c r="E48" s="2" t="d">
        <v>2024-02-14</v>
      </c>
      <c r="F48" s="1" t="s">
        <v>72</v>
      </c>
      <c r="G48" s="1">
        <v>118.52</v>
      </c>
    </row>
    <row r="49" spans="1:7" ht="20" customHeight="1" x14ac:dyDescent="0.2">
      <c r="A49" s="1">
        <f t="shared" si="0"/>
        <v>48</v>
      </c>
      <c r="B49" s="1" t="s">
        <v>49</v>
      </c>
      <c r="C49" s="1" t="s">
        <v>129</v>
      </c>
      <c r="D49" s="2" t="d">
        <v>2023-12-31</v>
      </c>
      <c r="E49" s="2" t="d">
        <v>2024-02-14</v>
      </c>
      <c r="F49" s="1" t="s">
        <v>72</v>
      </c>
      <c r="G49" s="1">
        <v>0.16</v>
      </c>
    </row>
    <row r="50" spans="1:7" ht="20" customHeight="1" x14ac:dyDescent="0.2">
      <c r="A50" s="1">
        <f t="shared" si="0"/>
        <v>49</v>
      </c>
      <c r="B50" s="1" t="s">
        <v>50</v>
      </c>
      <c r="C50" s="1" t="s">
        <v>130</v>
      </c>
      <c r="D50" s="2" t="d">
        <v>2024-01-18</v>
      </c>
      <c r="E50" s="2" t="d">
        <v>2024-03-03</v>
      </c>
      <c r="F50" s="1" t="s">
        <v>72</v>
      </c>
      <c r="G50" s="1">
        <v>-5.1100000000000003</v>
      </c>
    </row>
    <row r="51" spans="1:7" ht="20" customHeight="1" x14ac:dyDescent="0.2">
      <c r="A51" s="1">
        <f t="shared" si="0"/>
        <v>50</v>
      </c>
      <c r="B51" s="1" t="s">
        <v>51</v>
      </c>
      <c r="C51" s="1" t="s">
        <v>131</v>
      </c>
      <c r="D51" s="2" t="d">
        <v>2024-03-29</v>
      </c>
      <c r="E51" s="2" t="d">
        <v>2024-05-13</v>
      </c>
      <c r="F51" s="1" t="s">
        <v>72</v>
      </c>
      <c r="G51" s="1">
        <v>-19.96</v>
      </c>
    </row>
    <row r="52" spans="1:7" ht="20" customHeight="1" x14ac:dyDescent="0.2">
      <c r="A52" s="1">
        <f t="shared" si="0"/>
        <v>51</v>
      </c>
      <c r="B52" s="1" t="s">
        <v>52</v>
      </c>
      <c r="C52" s="1" t="s">
        <v>132</v>
      </c>
      <c r="D52" s="2" t="d">
        <v>2025-02-19</v>
      </c>
      <c r="E52" s="2" t="d">
        <v>2025-04-05</v>
      </c>
      <c r="F52" s="1" t="s">
        <v>72</v>
      </c>
      <c r="G52" s="1">
        <v>241.77</v>
      </c>
    </row>
    <row r="53" spans="1:7" ht="20" customHeight="1" x14ac:dyDescent="0.2">
      <c r="A53" s="1">
        <f t="shared" si="0"/>
        <v>52</v>
      </c>
      <c r="B53" s="1" t="s">
        <v>53</v>
      </c>
      <c r="C53" s="1" t="s">
        <v>133</v>
      </c>
      <c r="D53" s="2" t="d">
        <v>2025-04-18</v>
      </c>
      <c r="E53" s="2" t="d">
        <v>2025-06-02</v>
      </c>
      <c r="F53" s="1" t="s">
        <v>72</v>
      </c>
      <c r="G53" s="1">
        <v>181.61</v>
      </c>
    </row>
    <row r="54" spans="1:7" ht="20" customHeight="1" x14ac:dyDescent="0.2">
      <c r="A54" s="1">
        <f t="shared" si="0"/>
        <v>53</v>
      </c>
      <c r="B54" s="1" t="s">
        <v>54</v>
      </c>
      <c r="C54" s="1" t="s">
        <v>134</v>
      </c>
      <c r="D54" s="2" t="d">
        <v>2025-04-20</v>
      </c>
      <c r="E54" s="2" t="d">
        <v>2025-06-04</v>
      </c>
      <c r="F54" s="1" t="s">
        <v>72</v>
      </c>
      <c r="G54" s="1">
        <v>226.91</v>
      </c>
    </row>
    <row r="55" spans="1:7" ht="20" customHeight="1" x14ac:dyDescent="0.2">
      <c r="A55" s="1">
        <f t="shared" si="0"/>
        <v>54</v>
      </c>
      <c r="B55" s="1" t="s">
        <v>55</v>
      </c>
      <c r="C55" s="1" t="s">
        <v>135</v>
      </c>
      <c r="D55" s="2" t="d">
        <v>2025-05-14</v>
      </c>
      <c r="E55" s="2" t="d">
        <v>2025-06-28</v>
      </c>
      <c r="F55" s="1" t="s">
        <v>72</v>
      </c>
      <c r="G55" s="1">
        <v>134.22</v>
      </c>
    </row>
    <row r="56" spans="1:7" ht="20" customHeight="1" x14ac:dyDescent="0.2">
      <c r="A56" s="1">
        <f t="shared" si="0"/>
        <v>55</v>
      </c>
      <c r="B56" s="1" t="s">
        <v>56</v>
      </c>
      <c r="C56" s="1" t="s">
        <v>136</v>
      </c>
      <c r="D56" s="2" t="d">
        <v>2025-06-06</v>
      </c>
      <c r="E56" s="2" t="d">
        <v>2025-07-21</v>
      </c>
      <c r="F56" s="1" t="s">
        <v>72</v>
      </c>
      <c r="G56" s="1">
        <v>58.81</v>
      </c>
    </row>
    <row r="57" spans="1:7" ht="20" customHeight="1" x14ac:dyDescent="0.2">
      <c r="A57" s="1">
        <f t="shared" si="0"/>
        <v>56</v>
      </c>
      <c r="B57" s="1" t="s">
        <v>57</v>
      </c>
      <c r="C57" s="1" t="s">
        <v>137</v>
      </c>
      <c r="D57" s="2" t="d">
        <v>2025-07-27</v>
      </c>
      <c r="E57" s="2" t="d">
        <v>2025-09-10</v>
      </c>
      <c r="F57" s="1" t="s">
        <v>72</v>
      </c>
      <c r="G57" s="1">
        <v>7.9</v>
      </c>
    </row>
    <row r="58" spans="1:7" ht="20" customHeight="1" x14ac:dyDescent="0.2">
      <c r="A58" s="1">
        <f t="shared" si="0"/>
        <v>57</v>
      </c>
      <c r="B58" s="1" t="s">
        <v>58</v>
      </c>
      <c r="C58" s="1" t="s">
        <v>138</v>
      </c>
      <c r="D58" s="2" t="d">
        <v>2025-07-30</v>
      </c>
      <c r="E58" s="2" t="d">
        <v>2025-09-13</v>
      </c>
      <c r="F58" s="1" t="s">
        <v>72</v>
      </c>
      <c r="G58" s="1">
        <v>-29.17</v>
      </c>
    </row>
    <row r="59" spans="1:7" ht="20" customHeight="1" x14ac:dyDescent="0.2">
      <c r="A59" s="1">
        <f t="shared" si="0"/>
        <v>58</v>
      </c>
      <c r="B59" s="1" t="s">
        <v>59</v>
      </c>
      <c r="C59" s="1" t="s">
        <v>139</v>
      </c>
      <c r="D59" s="2" t="d">
        <v>2025-08-30</v>
      </c>
      <c r="E59" s="2" t="d">
        <v>2025-10-14</v>
      </c>
      <c r="F59" s="1" t="s">
        <v>72</v>
      </c>
      <c r="G59" s="1">
        <v>-24.56</v>
      </c>
    </row>
    <row r="60" spans="1:7" ht="20" customHeight="1" x14ac:dyDescent="0.2">
      <c r="A60" s="1">
        <f t="shared" si="0"/>
        <v>59</v>
      </c>
      <c r="B60" s="1" t="s">
        <v>60</v>
      </c>
      <c r="C60" s="1" t="s">
        <v>140</v>
      </c>
      <c r="D60" s="2" t="d">
        <v>2025-09-11</v>
      </c>
      <c r="E60" s="2" t="d">
        <v>2025-10-26</v>
      </c>
      <c r="F60" s="1" t="s">
        <v>72</v>
      </c>
      <c r="G60" s="1">
        <v>25.66</v>
      </c>
    </row>
    <row r="61" spans="1:7" ht="20" customHeight="1" x14ac:dyDescent="0.2">
      <c r="A61" s="1">
        <f t="shared" si="0"/>
        <v>60</v>
      </c>
      <c r="B61" s="1" t="s">
        <v>61</v>
      </c>
      <c r="C61" s="1" t="s">
        <v>141</v>
      </c>
      <c r="D61" s="2" t="d">
        <v>2025-11-14</v>
      </c>
      <c r="E61" s="2" t="d">
        <v>2025-12-29</v>
      </c>
      <c r="F61" s="1" t="s">
        <v>72</v>
      </c>
      <c r="G61" s="1">
        <v>27.99</v>
      </c>
    </row>
    <row r="62" spans="1:7" ht="20" customHeight="1" x14ac:dyDescent="0.2">
      <c r="A62" s="1">
        <f t="shared" si="0"/>
        <v>61</v>
      </c>
      <c r="B62" s="1" t="s">
        <v>62</v>
      </c>
      <c r="C62" s="1" t="s">
        <v>142</v>
      </c>
      <c r="D62" s="2" t="d">
        <v>2025-11-16</v>
      </c>
      <c r="E62" s="2" t="d">
        <v>2025-12-31</v>
      </c>
      <c r="F62" s="1" t="s">
        <v>72</v>
      </c>
      <c r="G62" s="1">
        <v>8.9700000000000006</v>
      </c>
    </row>
    <row r="63" spans="1:7" ht="20" customHeight="1" x14ac:dyDescent="0.2">
      <c r="A63" s="1">
        <f t="shared" si="0"/>
        <v>62</v>
      </c>
      <c r="B63" s="1" t="s">
        <v>63</v>
      </c>
      <c r="C63" s="1" t="s">
        <v>143</v>
      </c>
      <c r="D63" s="2" t="d">
        <v>2025-11-19</v>
      </c>
      <c r="E63" s="2" t="d">
        <v>2026-01-03</v>
      </c>
      <c r="F63" s="1" t="s">
        <v>72</v>
      </c>
      <c r="G63" s="1">
        <v>125.81</v>
      </c>
    </row>
    <row r="64" spans="1:7" ht="20" customHeight="1" x14ac:dyDescent="0.2">
      <c r="A64" s="1">
        <f t="shared" si="0"/>
        <v>63</v>
      </c>
      <c r="B64" s="1" t="s">
        <v>64</v>
      </c>
      <c r="C64" s="1" t="s">
        <v>144</v>
      </c>
      <c r="D64" s="2" t="d">
        <v>2025-11-20</v>
      </c>
      <c r="E64" s="2" t="d">
        <v>2026-01-04</v>
      </c>
      <c r="F64" s="1" t="s">
        <v>72</v>
      </c>
      <c r="G64" s="1">
        <v>8.66</v>
      </c>
    </row>
    <row r="65" spans="1:7" ht="20" customHeight="1" x14ac:dyDescent="0.2">
      <c r="A65" s="1">
        <f t="shared" si="0"/>
        <v>64</v>
      </c>
      <c r="B65" s="1" t="s">
        <v>65</v>
      </c>
      <c r="C65" s="1" t="s">
        <v>145</v>
      </c>
      <c r="D65" s="2" t="d">
        <v>2025-11-21</v>
      </c>
      <c r="E65" s="2" t="d">
        <v>2026-01-05</v>
      </c>
      <c r="F65" s="1" t="s">
        <v>72</v>
      </c>
      <c r="G65" s="1">
        <v>33.83</v>
      </c>
    </row>
    <row r="66" spans="1:7" ht="20" customHeight="1" x14ac:dyDescent="0.2">
      <c r="A66" s="1">
        <f t="shared" si="0"/>
        <v>65</v>
      </c>
      <c r="B66" s="1" t="s">
        <v>66</v>
      </c>
      <c r="C66" s="1" t="s">
        <v>146</v>
      </c>
      <c r="D66" s="2" t="d">
        <v>2025-11-21</v>
      </c>
      <c r="E66" s="2" t="d">
        <v>2026-01-05</v>
      </c>
      <c r="F66" s="1" t="s">
        <v>72</v>
      </c>
      <c r="G66" s="1">
        <v>445.26</v>
      </c>
    </row>
    <row r="67" spans="1:7" ht="20" customHeight="1" x14ac:dyDescent="0.2">
      <c r="A67" s="1">
        <f t="shared" ref="A67:A71" si="1">ROW()-1</f>
        <v>66</v>
      </c>
      <c r="B67" s="1" t="s">
        <v>67</v>
      </c>
      <c r="C67" s="1" t="s">
        <v>147</v>
      </c>
      <c r="D67" s="2" t="d">
        <v>2025-11-26</v>
      </c>
      <c r="E67" s="2" t="d">
        <v>2026-01-10</v>
      </c>
      <c r="F67" s="1" t="s">
        <v>72</v>
      </c>
      <c r="G67" s="1">
        <v>109.96</v>
      </c>
    </row>
    <row r="68" spans="1:7" ht="20" customHeight="1" x14ac:dyDescent="0.2">
      <c r="A68" s="1">
        <f t="shared" si="1"/>
        <v>67</v>
      </c>
      <c r="B68" s="1" t="s">
        <v>68</v>
      </c>
      <c r="C68" s="1" t="s">
        <v>148</v>
      </c>
      <c r="D68" s="2" t="d">
        <v>2025-12-04</v>
      </c>
      <c r="E68" s="2" t="d">
        <v>2026-01-18</v>
      </c>
      <c r="F68" s="1" t="s">
        <v>72</v>
      </c>
      <c r="G68" s="1">
        <v>70.25</v>
      </c>
    </row>
    <row r="69" spans="1:7" ht="20" customHeight="1" x14ac:dyDescent="0.2">
      <c r="A69" s="1">
        <f t="shared" si="1"/>
        <v>68</v>
      </c>
      <c r="B69" s="1" t="s">
        <v>69</v>
      </c>
      <c r="C69" s="1" t="s">
        <v>149</v>
      </c>
      <c r="D69" s="2" t="d">
        <v>2025-12-20</v>
      </c>
      <c r="E69" s="2" t="d">
        <v>2026-02-03</v>
      </c>
      <c r="F69" s="1" t="s">
        <v>72</v>
      </c>
      <c r="G69" s="1">
        <v>210.88</v>
      </c>
    </row>
    <row r="70" spans="1:7" ht="20" customHeight="1" x14ac:dyDescent="0.2">
      <c r="A70" s="1">
        <f t="shared" si="1"/>
        <v>69</v>
      </c>
      <c r="B70" s="1" t="s">
        <v>70</v>
      </c>
      <c r="C70" s="1" t="s">
        <v>70</v>
      </c>
      <c r="D70" s="2" t="d">
        <v>2026-02-26</v>
      </c>
      <c r="E70" s="2" t="d">
        <v>2026-04-12</v>
      </c>
      <c r="F70" s="1" t="s">
        <v>72</v>
      </c>
      <c r="G70" s="1">
        <v>9.64</v>
      </c>
    </row>
    <row r="71" spans="1:7" ht="20" customHeight="1" x14ac:dyDescent="0.2">
      <c r="A71" s="1">
        <f t="shared" si="1"/>
        <v>70</v>
      </c>
      <c r="B71" s="1" t="s">
        <v>71</v>
      </c>
      <c r="C71" s="1" t="s">
        <v>150</v>
      </c>
      <c r="D71" s="2" t="d">
        <v>2026-02-26</v>
      </c>
      <c r="E71" s="2" t="d">
        <v>2026-04-12</v>
      </c>
      <c r="F71" s="3" t="s">
        <v>72</v>
      </c>
      <c r="G71" s="3">
        <v>171.86</v>
      </c>
    </row>
    <row r="72" spans="1:7" ht="20" customHeight="1" x14ac:dyDescent="0.2">
      <c r="F72" s="20" t="s">
        <v>151</v>
      </c>
      <c r="G72" s="21">
        <f>AVERAGE(G2:G71)</f>
        <v>46.942142857142855</v>
      </c>
    </row>
    <row r="73" spans="1:7" ht="20" customHeight="1" x14ac:dyDescent="0.2">
      <c r="F73" s="20" t="s">
        <v>152</v>
      </c>
      <c r="G73" s="21">
        <f>((1+G72/100)^(365/45)-1)*100</f>
        <v>2168.5208212836214</v>
      </c>
    </row>
    <row r="74" spans="1:7" x14ac:dyDescent="0.2">
      <c r="F74" s="20" t="s">
        <v>166</v>
      </c>
      <c r="G74" s="21">
        <f>MEDIAN(G2:G71)</f>
        <v>10.64</v>
      </c>
    </row>
    <row r="76" spans="1:7" x14ac:dyDescent="0.2">
      <c r="E76" s="23" t="s">
        <v>168</v>
      </c>
      <c r="F76">
        <v>27</v>
      </c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6"/>
  <sheetViews>
    <sheetView topLeftCell="A59" zoomScale="140" zoomScaleNormal="140" workbookViewId="0">
      <selection activeCell="D75" sqref="D75"/>
    </sheetView>
  </sheetViews>
  <sheetFormatPr baseColWidth="10" defaultRowHeight="16" x14ac:dyDescent="0.2"/>
  <cols>
    <col min="1" max="1" width="3.1640625" bestFit="1" customWidth="1"/>
    <col min="2" max="2" width="9.1640625" bestFit="1" customWidth="1"/>
    <col min="3" max="3" width="44" bestFit="1" customWidth="1"/>
    <col min="4" max="4" width="11.5" bestFit="1" customWidth="1"/>
    <col min="5" max="5" width="12" bestFit="1" customWidth="1"/>
    <col min="6" max="6" width="12.33203125" bestFit="1" customWidth="1"/>
    <col min="7" max="7" width="14.33203125" bestFit="1" customWidth="1"/>
  </cols>
  <sheetData>
    <row r="1" spans="1:7" ht="35" customHeight="1" x14ac:dyDescent="0.2">
      <c r="A1" s="4" t="s">
        <v>0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75</v>
      </c>
      <c r="G1" s="4" t="s">
        <v>81</v>
      </c>
    </row>
    <row r="2" spans="1:7" ht="20" customHeight="1" x14ac:dyDescent="0.2">
      <c r="A2" s="1">
        <f>ROW()-1</f>
        <v>1</v>
      </c>
      <c r="B2" s="1" t="s">
        <v>2</v>
      </c>
      <c r="C2" s="1" t="s">
        <v>82</v>
      </c>
      <c r="D2" s="2" t="d">
        <v>2022-10-26</v>
      </c>
      <c r="E2" s="2" t="d">
        <v>2022-12-26</v>
      </c>
      <c r="F2" s="1" t="s">
        <v>75</v>
      </c>
      <c r="G2" s="1">
        <v>-3.43</v>
      </c>
    </row>
    <row r="3" spans="1:7" ht="20" customHeight="1" x14ac:dyDescent="0.2">
      <c r="A3" s="1">
        <f t="shared" ref="A3:A66" si="0">ROW()-1</f>
        <v>2</v>
      </c>
      <c r="B3" s="1" t="s">
        <v>3</v>
      </c>
      <c r="C3" s="1" t="s">
        <v>83</v>
      </c>
      <c r="D3" s="2" t="d">
        <v>2022-10-27</v>
      </c>
      <c r="E3" s="2" t="d">
        <v>2022-12-27</v>
      </c>
      <c r="F3" s="1" t="s">
        <v>75</v>
      </c>
      <c r="G3" s="1">
        <v>16.43</v>
      </c>
    </row>
    <row r="4" spans="1:7" ht="20" customHeight="1" x14ac:dyDescent="0.2">
      <c r="A4" s="1">
        <f t="shared" si="0"/>
        <v>3</v>
      </c>
      <c r="B4" s="1" t="s">
        <v>4</v>
      </c>
      <c r="C4" s="1" t="s">
        <v>84</v>
      </c>
      <c r="D4" s="2" t="d">
        <v>2022-11-25</v>
      </c>
      <c r="E4" s="2" t="d">
        <v>2023-01-25</v>
      </c>
      <c r="F4" s="1" t="s">
        <v>75</v>
      </c>
      <c r="G4" s="1">
        <v>27.75</v>
      </c>
    </row>
    <row r="5" spans="1:7" ht="20" customHeight="1" x14ac:dyDescent="0.2">
      <c r="A5" s="1">
        <f t="shared" si="0"/>
        <v>4</v>
      </c>
      <c r="B5" s="1" t="s">
        <v>5</v>
      </c>
      <c r="C5" s="1" t="s">
        <v>85</v>
      </c>
      <c r="D5" s="2" t="d">
        <v>2022-12-24</v>
      </c>
      <c r="E5" s="2" t="d">
        <v>2023-02-24</v>
      </c>
      <c r="F5" s="1" t="s">
        <v>75</v>
      </c>
      <c r="G5" s="1">
        <v>45.63</v>
      </c>
    </row>
    <row r="6" spans="1:7" ht="20" customHeight="1" x14ac:dyDescent="0.2">
      <c r="A6" s="1">
        <f t="shared" si="0"/>
        <v>5</v>
      </c>
      <c r="B6" s="1" t="s">
        <v>6</v>
      </c>
      <c r="C6" s="1" t="s">
        <v>86</v>
      </c>
      <c r="D6" s="2" t="d">
        <v>2022-12-24</v>
      </c>
      <c r="E6" s="2" t="d">
        <v>2023-02-24</v>
      </c>
      <c r="F6" s="1" t="s">
        <v>75</v>
      </c>
      <c r="G6" s="1">
        <v>76.59</v>
      </c>
    </row>
    <row r="7" spans="1:7" ht="20" customHeight="1" x14ac:dyDescent="0.2">
      <c r="A7" s="1">
        <f t="shared" si="0"/>
        <v>6</v>
      </c>
      <c r="B7" s="1" t="s">
        <v>7</v>
      </c>
      <c r="C7" s="1" t="s">
        <v>87</v>
      </c>
      <c r="D7" s="2" t="d">
        <v>2022-12-30</v>
      </c>
      <c r="E7" s="2" t="d">
        <v>2023-02-28</v>
      </c>
      <c r="F7" s="1" t="s">
        <v>75</v>
      </c>
      <c r="G7" s="1">
        <v>-13.73</v>
      </c>
    </row>
    <row r="8" spans="1:7" ht="20" customHeight="1" x14ac:dyDescent="0.2">
      <c r="A8" s="1">
        <f t="shared" si="0"/>
        <v>7</v>
      </c>
      <c r="B8" s="1" t="s">
        <v>8</v>
      </c>
      <c r="C8" s="1" t="s">
        <v>88</v>
      </c>
      <c r="D8" s="2" t="d">
        <v>2023-01-14</v>
      </c>
      <c r="E8" s="2" t="d">
        <v>2023-03-14</v>
      </c>
      <c r="F8" s="1" t="s">
        <v>75</v>
      </c>
      <c r="G8" s="1">
        <v>46.48</v>
      </c>
    </row>
    <row r="9" spans="1:7" ht="20" customHeight="1" x14ac:dyDescent="0.2">
      <c r="A9" s="1">
        <f t="shared" si="0"/>
        <v>8</v>
      </c>
      <c r="B9" s="1" t="s">
        <v>9</v>
      </c>
      <c r="C9" s="1" t="s">
        <v>89</v>
      </c>
      <c r="D9" s="2" t="d">
        <v>2023-03-15</v>
      </c>
      <c r="E9" s="2" t="d">
        <v>2023-05-15</v>
      </c>
      <c r="F9" s="1" t="s">
        <v>75</v>
      </c>
      <c r="G9" s="1">
        <v>-2.38</v>
      </c>
    </row>
    <row r="10" spans="1:7" ht="20" customHeight="1" x14ac:dyDescent="0.2">
      <c r="A10" s="1">
        <f t="shared" si="0"/>
        <v>9</v>
      </c>
      <c r="B10" s="1" t="s">
        <v>10</v>
      </c>
      <c r="C10" s="1" t="s">
        <v>90</v>
      </c>
      <c r="D10" s="2" t="d">
        <v>2023-03-17</v>
      </c>
      <c r="E10" s="2" t="d">
        <v>2023-05-17</v>
      </c>
      <c r="F10" s="1" t="s">
        <v>75</v>
      </c>
      <c r="G10" s="1">
        <v>-7.51</v>
      </c>
    </row>
    <row r="11" spans="1:7" ht="20" customHeight="1" x14ac:dyDescent="0.2">
      <c r="A11" s="1">
        <f t="shared" si="0"/>
        <v>10</v>
      </c>
      <c r="B11" s="1" t="s">
        <v>11</v>
      </c>
      <c r="C11" s="1" t="s">
        <v>91</v>
      </c>
      <c r="D11" s="2" t="d">
        <v>2023-04-01</v>
      </c>
      <c r="E11" s="2" t="d">
        <v>2023-06-01</v>
      </c>
      <c r="F11" s="1" t="s">
        <v>75</v>
      </c>
      <c r="G11" s="1">
        <v>-24.36</v>
      </c>
    </row>
    <row r="12" spans="1:7" ht="20" customHeight="1" x14ac:dyDescent="0.2">
      <c r="A12" s="1">
        <f t="shared" si="0"/>
        <v>11</v>
      </c>
      <c r="B12" s="1" t="s">
        <v>12</v>
      </c>
      <c r="C12" s="1" t="s">
        <v>92</v>
      </c>
      <c r="D12" s="2" t="d">
        <v>2023-04-02</v>
      </c>
      <c r="E12" s="2" t="d">
        <v>2023-06-02</v>
      </c>
      <c r="F12" s="1" t="s">
        <v>75</v>
      </c>
      <c r="G12" s="1">
        <v>-17.899999999999999</v>
      </c>
    </row>
    <row r="13" spans="1:7" ht="20" customHeight="1" x14ac:dyDescent="0.2">
      <c r="A13" s="1">
        <f t="shared" si="0"/>
        <v>12</v>
      </c>
      <c r="B13" s="1" t="s">
        <v>13</v>
      </c>
      <c r="C13" s="1" t="s">
        <v>93</v>
      </c>
      <c r="D13" s="2" t="d">
        <v>2023-04-02</v>
      </c>
      <c r="E13" s="2" t="d">
        <v>2023-06-02</v>
      </c>
      <c r="F13" s="1" t="s">
        <v>75</v>
      </c>
      <c r="G13" s="1">
        <v>245.85</v>
      </c>
    </row>
    <row r="14" spans="1:7" ht="20" customHeight="1" x14ac:dyDescent="0.2">
      <c r="A14" s="1">
        <f t="shared" si="0"/>
        <v>13</v>
      </c>
      <c r="B14" s="1" t="s">
        <v>14</v>
      </c>
      <c r="C14" s="1" t="s">
        <v>94</v>
      </c>
      <c r="D14" s="2" t="d">
        <v>2023-04-06</v>
      </c>
      <c r="E14" s="2" t="d">
        <v>2023-06-06</v>
      </c>
      <c r="F14" s="1" t="s">
        <v>75</v>
      </c>
      <c r="G14" s="1">
        <v>-9.81</v>
      </c>
    </row>
    <row r="15" spans="1:7" ht="20" customHeight="1" x14ac:dyDescent="0.2">
      <c r="A15" s="1">
        <f t="shared" si="0"/>
        <v>14</v>
      </c>
      <c r="B15" s="1" t="s">
        <v>15</v>
      </c>
      <c r="C15" s="1" t="s">
        <v>95</v>
      </c>
      <c r="D15" s="2" t="d">
        <v>2023-04-20</v>
      </c>
      <c r="E15" s="2" t="d">
        <v>2023-06-20</v>
      </c>
      <c r="F15" s="1" t="s">
        <v>75</v>
      </c>
      <c r="G15" s="1">
        <v>2.2400000000000002</v>
      </c>
    </row>
    <row r="16" spans="1:7" ht="20" customHeight="1" x14ac:dyDescent="0.2">
      <c r="A16" s="1">
        <f t="shared" si="0"/>
        <v>15</v>
      </c>
      <c r="B16" s="1" t="s">
        <v>16</v>
      </c>
      <c r="C16" s="1" t="s">
        <v>96</v>
      </c>
      <c r="D16" s="2" t="d">
        <v>2023-04-23</v>
      </c>
      <c r="E16" s="2" t="d">
        <v>2023-06-23</v>
      </c>
      <c r="F16" s="1" t="s">
        <v>75</v>
      </c>
      <c r="G16" s="1">
        <v>-11.02</v>
      </c>
    </row>
    <row r="17" spans="1:7" ht="20" customHeight="1" x14ac:dyDescent="0.2">
      <c r="A17" s="1">
        <f t="shared" si="0"/>
        <v>16</v>
      </c>
      <c r="B17" s="1" t="s">
        <v>17</v>
      </c>
      <c r="C17" s="1" t="s">
        <v>97</v>
      </c>
      <c r="D17" s="2" t="d">
        <v>2023-04-23</v>
      </c>
      <c r="E17" s="2" t="d">
        <v>2023-06-23</v>
      </c>
      <c r="F17" s="1" t="s">
        <v>75</v>
      </c>
      <c r="G17" s="1">
        <v>-9.73</v>
      </c>
    </row>
    <row r="18" spans="1:7" ht="20" customHeight="1" x14ac:dyDescent="0.2">
      <c r="A18" s="1">
        <f t="shared" si="0"/>
        <v>17</v>
      </c>
      <c r="B18" s="1" t="s">
        <v>18</v>
      </c>
      <c r="C18" s="1" t="s">
        <v>98</v>
      </c>
      <c r="D18" s="2" t="d">
        <v>2023-05-12</v>
      </c>
      <c r="E18" s="2" t="d">
        <v>2023-07-12</v>
      </c>
      <c r="F18" s="1" t="s">
        <v>75</v>
      </c>
      <c r="G18" s="1">
        <v>224.58</v>
      </c>
    </row>
    <row r="19" spans="1:7" ht="20" customHeight="1" x14ac:dyDescent="0.2">
      <c r="A19" s="1">
        <f t="shared" si="0"/>
        <v>18</v>
      </c>
      <c r="B19" s="1" t="s">
        <v>19</v>
      </c>
      <c r="C19" s="1" t="s">
        <v>99</v>
      </c>
      <c r="D19" s="2" t="d">
        <v>2023-05-17</v>
      </c>
      <c r="E19" s="2" t="d">
        <v>2023-07-17</v>
      </c>
      <c r="F19" s="1" t="s">
        <v>75</v>
      </c>
      <c r="G19" s="1">
        <v>12.09</v>
      </c>
    </row>
    <row r="20" spans="1:7" ht="20" customHeight="1" x14ac:dyDescent="0.2">
      <c r="A20" s="1">
        <f t="shared" si="0"/>
        <v>19</v>
      </c>
      <c r="B20" s="1" t="s">
        <v>20</v>
      </c>
      <c r="C20" s="1" t="s">
        <v>100</v>
      </c>
      <c r="D20" s="2" t="d">
        <v>2023-05-26</v>
      </c>
      <c r="E20" s="2" t="d">
        <v>2023-07-26</v>
      </c>
      <c r="F20" s="1" t="s">
        <v>75</v>
      </c>
      <c r="G20" s="1">
        <v>1.7</v>
      </c>
    </row>
    <row r="21" spans="1:7" ht="20" customHeight="1" x14ac:dyDescent="0.2">
      <c r="A21" s="1">
        <f t="shared" si="0"/>
        <v>20</v>
      </c>
      <c r="B21" s="1" t="s">
        <v>21</v>
      </c>
      <c r="C21" s="1" t="s">
        <v>101</v>
      </c>
      <c r="D21" s="2" t="d">
        <v>2023-06-18</v>
      </c>
      <c r="E21" s="2" t="d">
        <v>2023-08-18</v>
      </c>
      <c r="F21" s="1" t="s">
        <v>75</v>
      </c>
      <c r="G21" s="1">
        <v>-34.659999999999997</v>
      </c>
    </row>
    <row r="22" spans="1:7" ht="20" customHeight="1" x14ac:dyDescent="0.2">
      <c r="A22" s="1">
        <f t="shared" si="0"/>
        <v>21</v>
      </c>
      <c r="B22" s="1" t="s">
        <v>22</v>
      </c>
      <c r="C22" s="1" t="s">
        <v>102</v>
      </c>
      <c r="D22" s="2" t="d">
        <v>2023-06-18</v>
      </c>
      <c r="E22" s="2" t="d">
        <v>2023-08-18</v>
      </c>
      <c r="F22" s="1" t="s">
        <v>75</v>
      </c>
      <c r="G22" s="1">
        <v>-30.9</v>
      </c>
    </row>
    <row r="23" spans="1:7" ht="20" customHeight="1" x14ac:dyDescent="0.2">
      <c r="A23" s="1">
        <f t="shared" si="0"/>
        <v>22</v>
      </c>
      <c r="B23" s="1" t="s">
        <v>23</v>
      </c>
      <c r="C23" s="1" t="s">
        <v>103</v>
      </c>
      <c r="D23" s="2" t="d">
        <v>2023-06-21</v>
      </c>
      <c r="E23" s="2" t="d">
        <v>2023-08-21</v>
      </c>
      <c r="F23" s="1" t="s">
        <v>75</v>
      </c>
      <c r="G23" s="1">
        <v>162.05000000000001</v>
      </c>
    </row>
    <row r="24" spans="1:7" ht="20" customHeight="1" x14ac:dyDescent="0.2">
      <c r="A24" s="1">
        <f t="shared" si="0"/>
        <v>23</v>
      </c>
      <c r="B24" s="1" t="s">
        <v>24</v>
      </c>
      <c r="C24" s="1" t="s">
        <v>104</v>
      </c>
      <c r="D24" s="2" t="d">
        <v>2023-06-28</v>
      </c>
      <c r="E24" s="2" t="d">
        <v>2023-08-28</v>
      </c>
      <c r="F24" s="1" t="s">
        <v>75</v>
      </c>
      <c r="G24" s="1">
        <v>-30</v>
      </c>
    </row>
    <row r="25" spans="1:7" ht="20" customHeight="1" x14ac:dyDescent="0.2">
      <c r="A25" s="1">
        <f t="shared" si="0"/>
        <v>24</v>
      </c>
      <c r="B25" s="1" t="s">
        <v>25</v>
      </c>
      <c r="C25" s="1" t="s">
        <v>105</v>
      </c>
      <c r="D25" s="2" t="d">
        <v>2023-06-30</v>
      </c>
      <c r="E25" s="2" t="d">
        <v>2023-08-30</v>
      </c>
      <c r="F25" s="1" t="s">
        <v>75</v>
      </c>
      <c r="G25" s="1">
        <v>-23.79</v>
      </c>
    </row>
    <row r="26" spans="1:7" ht="20" customHeight="1" x14ac:dyDescent="0.2">
      <c r="A26" s="1">
        <f t="shared" si="0"/>
        <v>25</v>
      </c>
      <c r="B26" s="1" t="s">
        <v>26</v>
      </c>
      <c r="C26" s="1" t="s">
        <v>106</v>
      </c>
      <c r="D26" s="2" t="d">
        <v>2023-07-15</v>
      </c>
      <c r="E26" s="2" t="d">
        <v>2023-09-15</v>
      </c>
      <c r="F26" s="1" t="s">
        <v>75</v>
      </c>
      <c r="G26" s="1">
        <v>-15.66</v>
      </c>
    </row>
    <row r="27" spans="1:7" ht="20" customHeight="1" x14ac:dyDescent="0.2">
      <c r="A27" s="1">
        <f t="shared" si="0"/>
        <v>26</v>
      </c>
      <c r="B27" s="1" t="s">
        <v>27</v>
      </c>
      <c r="C27" s="1" t="s">
        <v>107</v>
      </c>
      <c r="D27" s="2" t="d">
        <v>2023-07-15</v>
      </c>
      <c r="E27" s="2" t="d">
        <v>2023-09-15</v>
      </c>
      <c r="F27" s="1" t="s">
        <v>75</v>
      </c>
      <c r="G27" s="1">
        <v>-8.27</v>
      </c>
    </row>
    <row r="28" spans="1:7" ht="20" customHeight="1" x14ac:dyDescent="0.2">
      <c r="A28" s="1">
        <f t="shared" si="0"/>
        <v>27</v>
      </c>
      <c r="B28" s="1" t="s">
        <v>28</v>
      </c>
      <c r="C28" s="1" t="s">
        <v>108</v>
      </c>
      <c r="D28" s="2" t="d">
        <v>2023-08-16</v>
      </c>
      <c r="E28" s="2" t="d">
        <v>2023-10-16</v>
      </c>
      <c r="F28" s="1" t="s">
        <v>75</v>
      </c>
      <c r="G28" s="1">
        <v>-19.03</v>
      </c>
    </row>
    <row r="29" spans="1:7" ht="20" customHeight="1" x14ac:dyDescent="0.2">
      <c r="A29" s="1">
        <f t="shared" si="0"/>
        <v>28</v>
      </c>
      <c r="B29" s="1" t="s">
        <v>29</v>
      </c>
      <c r="C29" s="1" t="s">
        <v>109</v>
      </c>
      <c r="D29" s="2" t="d">
        <v>2023-08-16</v>
      </c>
      <c r="E29" s="2" t="d">
        <v>2023-10-16</v>
      </c>
      <c r="F29" s="1" t="s">
        <v>75</v>
      </c>
      <c r="G29" s="1">
        <v>-16.649999999999999</v>
      </c>
    </row>
    <row r="30" spans="1:7" ht="20" customHeight="1" x14ac:dyDescent="0.2">
      <c r="A30" s="1">
        <f t="shared" si="0"/>
        <v>29</v>
      </c>
      <c r="B30" s="1" t="s">
        <v>30</v>
      </c>
      <c r="C30" s="1" t="s">
        <v>110</v>
      </c>
      <c r="D30" s="2" t="d">
        <v>2023-08-23</v>
      </c>
      <c r="E30" s="2" t="d">
        <v>2023-10-23</v>
      </c>
      <c r="F30" s="1" t="s">
        <v>75</v>
      </c>
      <c r="G30" s="1">
        <v>-20</v>
      </c>
    </row>
    <row r="31" spans="1:7" ht="20" customHeight="1" x14ac:dyDescent="0.2">
      <c r="A31" s="1">
        <f t="shared" si="0"/>
        <v>30</v>
      </c>
      <c r="B31" s="1" t="s">
        <v>31</v>
      </c>
      <c r="C31" s="1" t="s">
        <v>111</v>
      </c>
      <c r="D31" s="2" t="d">
        <v>2023-08-23</v>
      </c>
      <c r="E31" s="2" t="d">
        <v>2023-10-23</v>
      </c>
      <c r="F31" s="1" t="s">
        <v>75</v>
      </c>
      <c r="G31" s="1">
        <v>25.9</v>
      </c>
    </row>
    <row r="32" spans="1:7" ht="20" customHeight="1" x14ac:dyDescent="0.2">
      <c r="A32" s="1">
        <f t="shared" si="0"/>
        <v>31</v>
      </c>
      <c r="B32" s="1" t="s">
        <v>32</v>
      </c>
      <c r="C32" s="1" t="s">
        <v>112</v>
      </c>
      <c r="D32" s="2" t="d">
        <v>2023-08-23</v>
      </c>
      <c r="E32" s="2" t="d">
        <v>2023-10-23</v>
      </c>
      <c r="F32" s="1" t="s">
        <v>75</v>
      </c>
      <c r="G32" s="1">
        <v>5.79</v>
      </c>
    </row>
    <row r="33" spans="1:7" ht="20" customHeight="1" x14ac:dyDescent="0.2">
      <c r="A33" s="1">
        <f t="shared" si="0"/>
        <v>32</v>
      </c>
      <c r="B33" s="1" t="s">
        <v>33</v>
      </c>
      <c r="C33" s="1" t="s">
        <v>113</v>
      </c>
      <c r="D33" s="2" t="d">
        <v>2023-08-31</v>
      </c>
      <c r="E33" s="2" t="d">
        <v>2023-10-31</v>
      </c>
      <c r="F33" s="1" t="s">
        <v>75</v>
      </c>
      <c r="G33" s="1">
        <v>-7.67</v>
      </c>
    </row>
    <row r="34" spans="1:7" ht="20" customHeight="1" x14ac:dyDescent="0.2">
      <c r="A34" s="1">
        <f t="shared" si="0"/>
        <v>33</v>
      </c>
      <c r="B34" s="1" t="s">
        <v>34</v>
      </c>
      <c r="C34" s="1" t="s">
        <v>114</v>
      </c>
      <c r="D34" s="2" t="d">
        <v>2023-09-27</v>
      </c>
      <c r="E34" s="2" t="d">
        <v>2023-11-27</v>
      </c>
      <c r="F34" s="1" t="s">
        <v>75</v>
      </c>
      <c r="G34" s="1">
        <v>-2.69</v>
      </c>
    </row>
    <row r="35" spans="1:7" ht="20" customHeight="1" x14ac:dyDescent="0.2">
      <c r="A35" s="1">
        <f t="shared" si="0"/>
        <v>34</v>
      </c>
      <c r="B35" s="1" t="s">
        <v>35</v>
      </c>
      <c r="C35" s="1" t="s">
        <v>115</v>
      </c>
      <c r="D35" s="2" t="d">
        <v>2023-10-01</v>
      </c>
      <c r="E35" s="2" t="d">
        <v>2023-12-01</v>
      </c>
      <c r="F35" s="1" t="s">
        <v>75</v>
      </c>
      <c r="G35" s="1">
        <v>-0.26</v>
      </c>
    </row>
    <row r="36" spans="1:7" ht="20" customHeight="1" x14ac:dyDescent="0.2">
      <c r="A36" s="1">
        <f t="shared" si="0"/>
        <v>35</v>
      </c>
      <c r="B36" s="1" t="s">
        <v>36</v>
      </c>
      <c r="C36" s="1" t="s">
        <v>116</v>
      </c>
      <c r="D36" s="2" t="d">
        <v>2023-10-05</v>
      </c>
      <c r="E36" s="2" t="d">
        <v>2023-12-05</v>
      </c>
      <c r="F36" s="1" t="s">
        <v>75</v>
      </c>
      <c r="G36" s="1">
        <v>-13.59</v>
      </c>
    </row>
    <row r="37" spans="1:7" ht="20" customHeight="1" x14ac:dyDescent="0.2">
      <c r="A37" s="1">
        <f t="shared" si="0"/>
        <v>36</v>
      </c>
      <c r="B37" s="1" t="s">
        <v>37</v>
      </c>
      <c r="C37" s="1" t="s">
        <v>117</v>
      </c>
      <c r="D37" s="2" t="d">
        <v>2023-10-05</v>
      </c>
      <c r="E37" s="2" t="d">
        <v>2023-12-05</v>
      </c>
      <c r="F37" s="1" t="s">
        <v>75</v>
      </c>
      <c r="G37" s="1">
        <v>-12.4</v>
      </c>
    </row>
    <row r="38" spans="1:7" ht="20" customHeight="1" x14ac:dyDescent="0.2">
      <c r="A38" s="1">
        <f t="shared" si="0"/>
        <v>37</v>
      </c>
      <c r="B38" s="1" t="s">
        <v>38</v>
      </c>
      <c r="C38" s="1" t="s">
        <v>118</v>
      </c>
      <c r="D38" s="2" t="d">
        <v>2023-10-11</v>
      </c>
      <c r="E38" s="2" t="d">
        <v>2023-12-11</v>
      </c>
      <c r="F38" s="1" t="s">
        <v>75</v>
      </c>
      <c r="G38" s="1">
        <v>18.45</v>
      </c>
    </row>
    <row r="39" spans="1:7" ht="20" customHeight="1" x14ac:dyDescent="0.2">
      <c r="A39" s="1">
        <f t="shared" si="0"/>
        <v>38</v>
      </c>
      <c r="B39" s="1" t="s">
        <v>39</v>
      </c>
      <c r="C39" s="1" t="s">
        <v>119</v>
      </c>
      <c r="D39" s="2" t="d">
        <v>2023-10-21</v>
      </c>
      <c r="E39" s="2" t="d">
        <v>2023-12-21</v>
      </c>
      <c r="F39" s="1" t="s">
        <v>75</v>
      </c>
      <c r="G39" s="1">
        <v>53.19</v>
      </c>
    </row>
    <row r="40" spans="1:7" ht="20" customHeight="1" x14ac:dyDescent="0.2">
      <c r="A40" s="1">
        <f t="shared" si="0"/>
        <v>39</v>
      </c>
      <c r="B40" s="1" t="s">
        <v>40</v>
      </c>
      <c r="C40" s="1" t="s">
        <v>120</v>
      </c>
      <c r="D40" s="2" t="d">
        <v>2023-10-21</v>
      </c>
      <c r="E40" s="2" t="d">
        <v>2023-12-21</v>
      </c>
      <c r="F40" s="1" t="s">
        <v>75</v>
      </c>
      <c r="G40" s="1">
        <v>203.42</v>
      </c>
    </row>
    <row r="41" spans="1:7" ht="20" customHeight="1" x14ac:dyDescent="0.2">
      <c r="A41" s="1">
        <f t="shared" si="0"/>
        <v>40</v>
      </c>
      <c r="B41" s="1" t="s">
        <v>41</v>
      </c>
      <c r="C41" s="1" t="s">
        <v>121</v>
      </c>
      <c r="D41" s="2" t="d">
        <v>2023-10-22</v>
      </c>
      <c r="E41" s="2" t="d">
        <v>2023-12-22</v>
      </c>
      <c r="F41" s="1" t="s">
        <v>75</v>
      </c>
      <c r="G41" s="1">
        <v>54.91</v>
      </c>
    </row>
    <row r="42" spans="1:7" ht="20" customHeight="1" x14ac:dyDescent="0.2">
      <c r="A42" s="1">
        <f t="shared" si="0"/>
        <v>41</v>
      </c>
      <c r="B42" s="1" t="s">
        <v>42</v>
      </c>
      <c r="C42" s="1" t="s">
        <v>122</v>
      </c>
      <c r="D42" s="2" t="d">
        <v>2023-10-22</v>
      </c>
      <c r="E42" s="2" t="d">
        <v>2023-12-22</v>
      </c>
      <c r="F42" s="1" t="s">
        <v>75</v>
      </c>
      <c r="G42" s="1">
        <v>90.34</v>
      </c>
    </row>
    <row r="43" spans="1:7" ht="20" customHeight="1" x14ac:dyDescent="0.2">
      <c r="A43" s="1">
        <f t="shared" si="0"/>
        <v>42</v>
      </c>
      <c r="B43" s="1" t="s">
        <v>43</v>
      </c>
      <c r="C43" s="1" t="s">
        <v>123</v>
      </c>
      <c r="D43" s="2" t="d">
        <v>2023-11-08</v>
      </c>
      <c r="E43" s="2" t="d">
        <v>2024-01-08</v>
      </c>
      <c r="F43" s="1" t="s">
        <v>75</v>
      </c>
      <c r="G43" s="1">
        <v>85.35</v>
      </c>
    </row>
    <row r="44" spans="1:7" ht="20" customHeight="1" x14ac:dyDescent="0.2">
      <c r="A44" s="1">
        <f t="shared" si="0"/>
        <v>43</v>
      </c>
      <c r="B44" s="1" t="s">
        <v>44</v>
      </c>
      <c r="C44" s="1" t="s">
        <v>124</v>
      </c>
      <c r="D44" s="2" t="d">
        <v>2023-11-30</v>
      </c>
      <c r="E44" s="2" t="d">
        <v>2024-01-30</v>
      </c>
      <c r="F44" s="1" t="s">
        <v>75</v>
      </c>
      <c r="G44" s="1">
        <v>57.71</v>
      </c>
    </row>
    <row r="45" spans="1:7" ht="20" customHeight="1" x14ac:dyDescent="0.2">
      <c r="A45" s="1">
        <f t="shared" si="0"/>
        <v>44</v>
      </c>
      <c r="B45" s="1" t="s">
        <v>45</v>
      </c>
      <c r="C45" s="1" t="s">
        <v>125</v>
      </c>
      <c r="D45" s="2" t="d">
        <v>2023-12-17</v>
      </c>
      <c r="E45" s="2" t="d">
        <v>2024-02-17</v>
      </c>
      <c r="F45" s="1" t="s">
        <v>75</v>
      </c>
      <c r="G45" s="1">
        <v>71.06</v>
      </c>
    </row>
    <row r="46" spans="1:7" ht="20" customHeight="1" x14ac:dyDescent="0.2">
      <c r="A46" s="1">
        <f t="shared" si="0"/>
        <v>45</v>
      </c>
      <c r="B46" s="1" t="s">
        <v>46</v>
      </c>
      <c r="C46" s="1" t="s">
        <v>126</v>
      </c>
      <c r="D46" s="2" t="d">
        <v>2023-12-24</v>
      </c>
      <c r="E46" s="2" t="d">
        <v>2024-02-24</v>
      </c>
      <c r="F46" s="1" t="s">
        <v>75</v>
      </c>
      <c r="G46" s="1">
        <v>170.19</v>
      </c>
    </row>
    <row r="47" spans="1:7" ht="20" customHeight="1" x14ac:dyDescent="0.2">
      <c r="A47" s="1">
        <f t="shared" si="0"/>
        <v>46</v>
      </c>
      <c r="B47" s="1" t="s">
        <v>47</v>
      </c>
      <c r="C47" s="1" t="s">
        <v>127</v>
      </c>
      <c r="D47" s="2" t="d">
        <v>2023-12-31</v>
      </c>
      <c r="E47" s="2" t="d">
        <v>2024-02-29</v>
      </c>
      <c r="F47" s="1" t="s">
        <v>75</v>
      </c>
      <c r="G47" s="1">
        <v>38.69</v>
      </c>
    </row>
    <row r="48" spans="1:7" ht="20" customHeight="1" x14ac:dyDescent="0.2">
      <c r="A48" s="1">
        <f t="shared" si="0"/>
        <v>47</v>
      </c>
      <c r="B48" s="1" t="s">
        <v>48</v>
      </c>
      <c r="C48" s="1" t="s">
        <v>128</v>
      </c>
      <c r="D48" s="2" t="d">
        <v>2023-12-31</v>
      </c>
      <c r="E48" s="2" t="d">
        <v>2024-02-29</v>
      </c>
      <c r="F48" s="1" t="s">
        <v>75</v>
      </c>
      <c r="G48" s="1">
        <v>120.27</v>
      </c>
    </row>
    <row r="49" spans="1:7" ht="20" customHeight="1" x14ac:dyDescent="0.2">
      <c r="A49" s="1">
        <f t="shared" si="0"/>
        <v>48</v>
      </c>
      <c r="B49" s="1" t="s">
        <v>49</v>
      </c>
      <c r="C49" s="1" t="s">
        <v>129</v>
      </c>
      <c r="D49" s="2" t="d">
        <v>2023-12-31</v>
      </c>
      <c r="E49" s="2" t="d">
        <v>2024-02-29</v>
      </c>
      <c r="F49" s="1" t="s">
        <v>75</v>
      </c>
      <c r="G49" s="1">
        <v>-3.64</v>
      </c>
    </row>
    <row r="50" spans="1:7" ht="20" customHeight="1" x14ac:dyDescent="0.2">
      <c r="A50" s="1">
        <f t="shared" si="0"/>
        <v>49</v>
      </c>
      <c r="B50" s="1" t="s">
        <v>50</v>
      </c>
      <c r="C50" s="1" t="s">
        <v>130</v>
      </c>
      <c r="D50" s="2" t="d">
        <v>2024-01-18</v>
      </c>
      <c r="E50" s="2" t="d">
        <v>2024-03-18</v>
      </c>
      <c r="F50" s="1" t="s">
        <v>75</v>
      </c>
      <c r="G50" s="1">
        <v>-1.06</v>
      </c>
    </row>
    <row r="51" spans="1:7" ht="20" customHeight="1" x14ac:dyDescent="0.2">
      <c r="A51" s="1">
        <f t="shared" si="0"/>
        <v>50</v>
      </c>
      <c r="B51" s="1" t="s">
        <v>51</v>
      </c>
      <c r="C51" s="1" t="s">
        <v>131</v>
      </c>
      <c r="D51" s="2" t="d">
        <v>2024-03-29</v>
      </c>
      <c r="E51" s="2" t="d">
        <v>2024-05-29</v>
      </c>
      <c r="F51" s="1" t="s">
        <v>75</v>
      </c>
      <c r="G51" s="1">
        <v>-10.5</v>
      </c>
    </row>
    <row r="52" spans="1:7" ht="20" customHeight="1" x14ac:dyDescent="0.2">
      <c r="A52" s="1">
        <f t="shared" si="0"/>
        <v>51</v>
      </c>
      <c r="B52" s="1" t="s">
        <v>52</v>
      </c>
      <c r="C52" s="1" t="s">
        <v>132</v>
      </c>
      <c r="D52" s="2" t="d">
        <v>2025-02-19</v>
      </c>
      <c r="E52" s="2" t="d">
        <v>2025-04-19</v>
      </c>
      <c r="F52" s="1" t="s">
        <v>75</v>
      </c>
      <c r="G52" s="1">
        <v>259.38</v>
      </c>
    </row>
    <row r="53" spans="1:7" ht="20" customHeight="1" x14ac:dyDescent="0.2">
      <c r="A53" s="1">
        <f t="shared" si="0"/>
        <v>52</v>
      </c>
      <c r="B53" s="1" t="s">
        <v>53</v>
      </c>
      <c r="C53" s="1" t="s">
        <v>133</v>
      </c>
      <c r="D53" s="2" t="d">
        <v>2025-04-18</v>
      </c>
      <c r="E53" s="2" t="d">
        <v>2025-06-18</v>
      </c>
      <c r="F53" s="1" t="s">
        <v>75</v>
      </c>
      <c r="G53" s="1">
        <v>155.02000000000001</v>
      </c>
    </row>
    <row r="54" spans="1:7" ht="20" customHeight="1" x14ac:dyDescent="0.2">
      <c r="A54" s="1">
        <f t="shared" si="0"/>
        <v>53</v>
      </c>
      <c r="B54" s="1" t="s">
        <v>54</v>
      </c>
      <c r="C54" s="1" t="s">
        <v>134</v>
      </c>
      <c r="D54" s="2" t="d">
        <v>2025-04-20</v>
      </c>
      <c r="E54" s="2" t="d">
        <v>2025-06-20</v>
      </c>
      <c r="F54" s="1" t="s">
        <v>75</v>
      </c>
      <c r="G54" s="1">
        <v>161.76</v>
      </c>
    </row>
    <row r="55" spans="1:7" ht="20" customHeight="1" x14ac:dyDescent="0.2">
      <c r="A55" s="1">
        <f t="shared" si="0"/>
        <v>54</v>
      </c>
      <c r="B55" s="1" t="s">
        <v>55</v>
      </c>
      <c r="C55" s="1" t="s">
        <v>135</v>
      </c>
      <c r="D55" s="2" t="d">
        <v>2025-05-14</v>
      </c>
      <c r="E55" s="2" t="d">
        <v>2025-07-14</v>
      </c>
      <c r="F55" s="1" t="s">
        <v>75</v>
      </c>
      <c r="G55" s="1">
        <v>137.84</v>
      </c>
    </row>
    <row r="56" spans="1:7" ht="20" customHeight="1" x14ac:dyDescent="0.2">
      <c r="A56" s="1">
        <f t="shared" si="0"/>
        <v>55</v>
      </c>
      <c r="B56" s="1" t="s">
        <v>56</v>
      </c>
      <c r="C56" s="1" t="s">
        <v>136</v>
      </c>
      <c r="D56" s="2" t="d">
        <v>2025-06-06</v>
      </c>
      <c r="E56" s="2" t="d">
        <v>2025-08-06</v>
      </c>
      <c r="F56" s="1" t="s">
        <v>75</v>
      </c>
      <c r="G56" s="1">
        <v>54.76</v>
      </c>
    </row>
    <row r="57" spans="1:7" ht="20" customHeight="1" x14ac:dyDescent="0.2">
      <c r="A57" s="1">
        <f t="shared" si="0"/>
        <v>56</v>
      </c>
      <c r="B57" s="1" t="s">
        <v>57</v>
      </c>
      <c r="C57" s="1" t="s">
        <v>137</v>
      </c>
      <c r="D57" s="2" t="d">
        <v>2025-07-27</v>
      </c>
      <c r="E57" s="2" t="d">
        <v>2025-09-27</v>
      </c>
      <c r="F57" s="1" t="s">
        <v>75</v>
      </c>
      <c r="G57" s="1">
        <v>5.33</v>
      </c>
    </row>
    <row r="58" spans="1:7" ht="20" customHeight="1" x14ac:dyDescent="0.2">
      <c r="A58" s="1">
        <f t="shared" si="0"/>
        <v>57</v>
      </c>
      <c r="B58" s="1" t="s">
        <v>58</v>
      </c>
      <c r="C58" s="1" t="s">
        <v>138</v>
      </c>
      <c r="D58" s="2" t="d">
        <v>2025-07-30</v>
      </c>
      <c r="E58" s="2" t="d">
        <v>2025-09-30</v>
      </c>
      <c r="F58" s="1" t="s">
        <v>75</v>
      </c>
      <c r="G58" s="1">
        <v>-24.71</v>
      </c>
    </row>
    <row r="59" spans="1:7" ht="20" customHeight="1" x14ac:dyDescent="0.2">
      <c r="A59" s="1">
        <f t="shared" si="0"/>
        <v>58</v>
      </c>
      <c r="B59" s="1" t="s">
        <v>59</v>
      </c>
      <c r="C59" s="1" t="s">
        <v>139</v>
      </c>
      <c r="D59" s="2" t="d">
        <v>2025-08-30</v>
      </c>
      <c r="E59" s="2" t="d">
        <v>2025-10-30</v>
      </c>
      <c r="F59" s="1" t="s">
        <v>75</v>
      </c>
      <c r="G59" s="1">
        <v>-19.36</v>
      </c>
    </row>
    <row r="60" spans="1:7" ht="20" customHeight="1" x14ac:dyDescent="0.2">
      <c r="A60" s="1">
        <f t="shared" si="0"/>
        <v>59</v>
      </c>
      <c r="B60" s="1" t="s">
        <v>60</v>
      </c>
      <c r="C60" s="1" t="s">
        <v>140</v>
      </c>
      <c r="D60" s="2" t="d">
        <v>2025-09-11</v>
      </c>
      <c r="E60" s="2" t="d">
        <v>2025-11-11</v>
      </c>
      <c r="F60" s="1" t="s">
        <v>75</v>
      </c>
      <c r="G60" s="1">
        <v>28.41</v>
      </c>
    </row>
    <row r="61" spans="1:7" ht="20" customHeight="1" x14ac:dyDescent="0.2">
      <c r="A61" s="1">
        <f t="shared" si="0"/>
        <v>60</v>
      </c>
      <c r="B61" s="1" t="s">
        <v>61</v>
      </c>
      <c r="C61" s="1" t="s">
        <v>141</v>
      </c>
      <c r="D61" s="2" t="d">
        <v>2025-11-14</v>
      </c>
      <c r="E61" s="2" t="d">
        <v>2026-01-14</v>
      </c>
      <c r="F61" s="1" t="s">
        <v>75</v>
      </c>
      <c r="G61" s="1">
        <v>33.520000000000003</v>
      </c>
    </row>
    <row r="62" spans="1:7" ht="20" customHeight="1" x14ac:dyDescent="0.2">
      <c r="A62" s="1">
        <f t="shared" si="0"/>
        <v>61</v>
      </c>
      <c r="B62" s="1" t="s">
        <v>62</v>
      </c>
      <c r="C62" s="1" t="s">
        <v>142</v>
      </c>
      <c r="D62" s="2" t="d">
        <v>2025-11-16</v>
      </c>
      <c r="E62" s="2" t="d">
        <v>2026-01-16</v>
      </c>
      <c r="F62" s="1" t="s">
        <v>75</v>
      </c>
      <c r="G62" s="1">
        <v>23.66</v>
      </c>
    </row>
    <row r="63" spans="1:7" ht="20" customHeight="1" x14ac:dyDescent="0.2">
      <c r="A63" s="1">
        <f t="shared" si="0"/>
        <v>62</v>
      </c>
      <c r="B63" s="1" t="s">
        <v>63</v>
      </c>
      <c r="C63" s="1" t="s">
        <v>143</v>
      </c>
      <c r="D63" s="2" t="d">
        <v>2025-11-19</v>
      </c>
      <c r="E63" s="2" t="d">
        <v>2026-01-19</v>
      </c>
      <c r="F63" s="1" t="s">
        <v>75</v>
      </c>
      <c r="G63" s="1">
        <v>192.97</v>
      </c>
    </row>
    <row r="64" spans="1:7" ht="20" customHeight="1" x14ac:dyDescent="0.2">
      <c r="A64" s="1">
        <f t="shared" si="0"/>
        <v>63</v>
      </c>
      <c r="B64" s="1" t="s">
        <v>64</v>
      </c>
      <c r="C64" s="1" t="s">
        <v>144</v>
      </c>
      <c r="D64" s="2" t="d">
        <v>2025-11-20</v>
      </c>
      <c r="E64" s="2" t="d">
        <v>2026-01-20</v>
      </c>
      <c r="F64" s="1" t="s">
        <v>75</v>
      </c>
      <c r="G64" s="1">
        <v>18.88</v>
      </c>
    </row>
    <row r="65" spans="1:7" ht="20" customHeight="1" x14ac:dyDescent="0.2">
      <c r="A65" s="1">
        <f t="shared" si="0"/>
        <v>64</v>
      </c>
      <c r="B65" s="1" t="s">
        <v>65</v>
      </c>
      <c r="C65" s="1" t="s">
        <v>145</v>
      </c>
      <c r="D65" s="2" t="d">
        <v>2025-11-21</v>
      </c>
      <c r="E65" s="2" t="d">
        <v>2026-01-21</v>
      </c>
      <c r="F65" s="1" t="s">
        <v>75</v>
      </c>
      <c r="G65" s="1">
        <v>34.770000000000003</v>
      </c>
    </row>
    <row r="66" spans="1:7" ht="20" customHeight="1" x14ac:dyDescent="0.2">
      <c r="A66" s="1">
        <f t="shared" si="0"/>
        <v>65</v>
      </c>
      <c r="B66" s="1" t="s">
        <v>66</v>
      </c>
      <c r="C66" s="1" t="s">
        <v>146</v>
      </c>
      <c r="D66" s="2" t="d">
        <v>2025-11-21</v>
      </c>
      <c r="E66" s="2" t="d">
        <v>2026-01-21</v>
      </c>
      <c r="F66" s="1" t="s">
        <v>75</v>
      </c>
      <c r="G66" s="1">
        <v>424.62</v>
      </c>
    </row>
    <row r="67" spans="1:7" ht="20" customHeight="1" x14ac:dyDescent="0.2">
      <c r="A67" s="1">
        <f t="shared" ref="A67:A71" si="1">ROW()-1</f>
        <v>66</v>
      </c>
      <c r="B67" s="1" t="s">
        <v>67</v>
      </c>
      <c r="C67" s="1" t="s">
        <v>147</v>
      </c>
      <c r="D67" s="2" t="d">
        <v>2025-11-26</v>
      </c>
      <c r="E67" s="2" t="d">
        <v>2026-01-26</v>
      </c>
      <c r="F67" s="1" t="s">
        <v>75</v>
      </c>
      <c r="G67" s="1">
        <v>147.15</v>
      </c>
    </row>
    <row r="68" spans="1:7" ht="20" customHeight="1" x14ac:dyDescent="0.2">
      <c r="A68" s="1">
        <f t="shared" si="1"/>
        <v>67</v>
      </c>
      <c r="B68" s="1" t="s">
        <v>68</v>
      </c>
      <c r="C68" s="1" t="s">
        <v>148</v>
      </c>
      <c r="D68" s="2" t="d">
        <v>2025-12-04</v>
      </c>
      <c r="E68" s="2" t="d">
        <v>2026-02-04</v>
      </c>
      <c r="F68" s="1" t="s">
        <v>75</v>
      </c>
      <c r="G68" s="1">
        <v>108.25</v>
      </c>
    </row>
    <row r="69" spans="1:7" ht="20" customHeight="1" x14ac:dyDescent="0.2">
      <c r="A69" s="1">
        <f t="shared" si="1"/>
        <v>68</v>
      </c>
      <c r="B69" s="1" t="s">
        <v>69</v>
      </c>
      <c r="C69" s="1" t="s">
        <v>149</v>
      </c>
      <c r="D69" s="2" t="d">
        <v>2025-12-20</v>
      </c>
      <c r="E69" s="2" t="d">
        <v>2026-02-20</v>
      </c>
      <c r="F69" s="1" t="s">
        <v>75</v>
      </c>
      <c r="G69" s="1">
        <v>178.33</v>
      </c>
    </row>
    <row r="70" spans="1:7" ht="20" customHeight="1" x14ac:dyDescent="0.2">
      <c r="A70" s="1">
        <f t="shared" si="1"/>
        <v>69</v>
      </c>
      <c r="B70" s="1" t="s">
        <v>70</v>
      </c>
      <c r="C70" s="1" t="s">
        <v>70</v>
      </c>
      <c r="D70" s="2" t="d">
        <v>2026-02-26</v>
      </c>
      <c r="E70" s="2" t="d">
        <v>2026-04-26</v>
      </c>
      <c r="F70" s="1" t="s">
        <v>75</v>
      </c>
      <c r="G70" s="1">
        <v>9.64</v>
      </c>
    </row>
    <row r="71" spans="1:7" ht="20" customHeight="1" x14ac:dyDescent="0.2">
      <c r="A71" s="1">
        <f t="shared" si="1"/>
        <v>70</v>
      </c>
      <c r="B71" s="1" t="s">
        <v>71</v>
      </c>
      <c r="C71" s="1" t="s">
        <v>150</v>
      </c>
      <c r="D71" s="2" t="d">
        <v>2026-02-26</v>
      </c>
      <c r="E71" s="2" t="d">
        <v>2026-04-26</v>
      </c>
      <c r="F71" s="3" t="s">
        <v>75</v>
      </c>
      <c r="G71" s="3">
        <v>156.46</v>
      </c>
    </row>
    <row r="72" spans="1:7" ht="20" customHeight="1" x14ac:dyDescent="0.2">
      <c r="F72" s="20" t="s">
        <v>151</v>
      </c>
      <c r="G72" s="21">
        <f>AVERAGE(G2:G71)</f>
        <v>51.324285714285715</v>
      </c>
    </row>
    <row r="73" spans="1:7" ht="20" customHeight="1" x14ac:dyDescent="0.2">
      <c r="F73" s="20" t="s">
        <v>152</v>
      </c>
      <c r="G73" s="21">
        <f>((1+G72/100)^(365/60)-1)*100</f>
        <v>1142.9228773772263</v>
      </c>
    </row>
    <row r="74" spans="1:7" x14ac:dyDescent="0.2">
      <c r="F74" s="20" t="s">
        <v>166</v>
      </c>
      <c r="G74" s="21">
        <f>MEDIAN(G2:G71)</f>
        <v>17.439999999999998</v>
      </c>
    </row>
    <row r="76" spans="1:7" x14ac:dyDescent="0.2">
      <c r="E76" s="23" t="s">
        <v>168</v>
      </c>
      <c r="F76">
        <v>28</v>
      </c>
    </row>
  </sheetData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topLeftCell="A63" zoomScale="140" zoomScaleNormal="140" workbookViewId="0">
      <selection activeCell="F72" sqref="F72:G74"/>
    </sheetView>
  </sheetViews>
  <sheetFormatPr baseColWidth="10" defaultRowHeight="16" x14ac:dyDescent="0.2"/>
  <cols>
    <col min="1" max="1" width="3.1640625" bestFit="1" customWidth="1"/>
    <col min="2" max="2" width="9.1640625" bestFit="1" customWidth="1"/>
    <col min="3" max="3" width="44" bestFit="1" customWidth="1"/>
    <col min="4" max="4" width="11.5" bestFit="1" customWidth="1"/>
    <col min="5" max="5" width="12" bestFit="1" customWidth="1"/>
    <col min="6" max="6" width="12.33203125" bestFit="1" customWidth="1"/>
    <col min="7" max="7" width="14.33203125" bestFit="1" customWidth="1"/>
  </cols>
  <sheetData>
    <row r="1" spans="1:7" ht="35" customHeight="1" x14ac:dyDescent="0.2">
      <c r="A1" s="4" t="s">
        <v>0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73</v>
      </c>
      <c r="G1" s="4" t="s">
        <v>81</v>
      </c>
    </row>
    <row r="2" spans="1:7" ht="20" customHeight="1" x14ac:dyDescent="0.2">
      <c r="A2" s="1">
        <f>ROW()-1</f>
        <v>1</v>
      </c>
      <c r="B2" s="1" t="s">
        <v>2</v>
      </c>
      <c r="C2" s="1" t="s">
        <v>82</v>
      </c>
      <c r="D2" s="2" t="d">
        <v>2022-10-26</v>
      </c>
      <c r="E2" s="2" t="d">
        <v>2023-02-26</v>
      </c>
      <c r="F2" s="1" t="s">
        <v>73</v>
      </c>
      <c r="G2" s="1">
        <v>47.62</v>
      </c>
    </row>
    <row r="3" spans="1:7" ht="20" customHeight="1" x14ac:dyDescent="0.2">
      <c r="A3" s="1">
        <f t="shared" ref="A3:A66" si="0">ROW()-1</f>
        <v>2</v>
      </c>
      <c r="B3" s="1" t="s">
        <v>3</v>
      </c>
      <c r="C3" s="1" t="s">
        <v>83</v>
      </c>
      <c r="D3" s="2" t="d">
        <v>2022-10-27</v>
      </c>
      <c r="E3" s="2" t="d">
        <v>2023-02-27</v>
      </c>
      <c r="F3" s="1" t="s">
        <v>73</v>
      </c>
      <c r="G3" s="1">
        <v>43.22</v>
      </c>
    </row>
    <row r="4" spans="1:7" ht="20" customHeight="1" x14ac:dyDescent="0.2">
      <c r="A4" s="1">
        <f t="shared" si="0"/>
        <v>3</v>
      </c>
      <c r="B4" s="1" t="s">
        <v>4</v>
      </c>
      <c r="C4" s="1" t="s">
        <v>84</v>
      </c>
      <c r="D4" s="2" t="d">
        <v>2022-11-25</v>
      </c>
      <c r="E4" s="2" t="d">
        <v>2023-03-25</v>
      </c>
      <c r="F4" s="1" t="s">
        <v>73</v>
      </c>
      <c r="G4" s="1">
        <v>26.36</v>
      </c>
    </row>
    <row r="5" spans="1:7" ht="20" customHeight="1" x14ac:dyDescent="0.2">
      <c r="A5" s="1">
        <f t="shared" si="0"/>
        <v>4</v>
      </c>
      <c r="B5" s="1" t="s">
        <v>5</v>
      </c>
      <c r="C5" s="1" t="s">
        <v>85</v>
      </c>
      <c r="D5" s="2" t="d">
        <v>2022-12-24</v>
      </c>
      <c r="E5" s="2" t="d">
        <v>2023-04-24</v>
      </c>
      <c r="F5" s="1" t="s">
        <v>73</v>
      </c>
      <c r="G5" s="1">
        <v>27.02</v>
      </c>
    </row>
    <row r="6" spans="1:7" ht="20" customHeight="1" x14ac:dyDescent="0.2">
      <c r="A6" s="1">
        <f t="shared" si="0"/>
        <v>5</v>
      </c>
      <c r="B6" s="1" t="s">
        <v>6</v>
      </c>
      <c r="C6" s="1" t="s">
        <v>86</v>
      </c>
      <c r="D6" s="2" t="d">
        <v>2022-12-24</v>
      </c>
      <c r="E6" s="2" t="d">
        <v>2023-04-24</v>
      </c>
      <c r="F6" s="1" t="s">
        <v>73</v>
      </c>
      <c r="G6" s="1">
        <v>57.56</v>
      </c>
    </row>
    <row r="7" spans="1:7" ht="20" customHeight="1" x14ac:dyDescent="0.2">
      <c r="A7" s="1">
        <f t="shared" si="0"/>
        <v>6</v>
      </c>
      <c r="B7" s="1" t="s">
        <v>7</v>
      </c>
      <c r="C7" s="1" t="s">
        <v>87</v>
      </c>
      <c r="D7" s="2" t="d">
        <v>2022-12-30</v>
      </c>
      <c r="E7" s="2" t="d">
        <v>2023-04-30</v>
      </c>
      <c r="F7" s="1" t="s">
        <v>73</v>
      </c>
      <c r="G7" s="1">
        <v>-38.200000000000003</v>
      </c>
    </row>
    <row r="8" spans="1:7" ht="20" customHeight="1" x14ac:dyDescent="0.2">
      <c r="A8" s="1">
        <f t="shared" si="0"/>
        <v>7</v>
      </c>
      <c r="B8" s="1" t="s">
        <v>8</v>
      </c>
      <c r="C8" s="1" t="s">
        <v>88</v>
      </c>
      <c r="D8" s="2" t="d">
        <v>2023-01-14</v>
      </c>
      <c r="E8" s="2" t="d">
        <v>2023-05-14</v>
      </c>
      <c r="F8" s="1" t="s">
        <v>73</v>
      </c>
      <c r="G8" s="1">
        <v>22.1</v>
      </c>
    </row>
    <row r="9" spans="1:7" ht="20" customHeight="1" x14ac:dyDescent="0.2">
      <c r="A9" s="1">
        <f t="shared" si="0"/>
        <v>8</v>
      </c>
      <c r="B9" s="1" t="s">
        <v>9</v>
      </c>
      <c r="C9" s="1" t="s">
        <v>89</v>
      </c>
      <c r="D9" s="2" t="d">
        <v>2023-03-15</v>
      </c>
      <c r="E9" s="2" t="d">
        <v>2023-07-15</v>
      </c>
      <c r="F9" s="1" t="s">
        <v>73</v>
      </c>
      <c r="G9" s="1">
        <v>3.05</v>
      </c>
    </row>
    <row r="10" spans="1:7" ht="20" customHeight="1" x14ac:dyDescent="0.2">
      <c r="A10" s="1">
        <f t="shared" si="0"/>
        <v>9</v>
      </c>
      <c r="B10" s="1" t="s">
        <v>10</v>
      </c>
      <c r="C10" s="1" t="s">
        <v>90</v>
      </c>
      <c r="D10" s="2" t="d">
        <v>2023-03-17</v>
      </c>
      <c r="E10" s="2" t="d">
        <v>2023-07-17</v>
      </c>
      <c r="F10" s="1" t="s">
        <v>73</v>
      </c>
      <c r="G10" s="1">
        <v>42.71</v>
      </c>
    </row>
    <row r="11" spans="1:7" ht="20" customHeight="1" x14ac:dyDescent="0.2">
      <c r="A11" s="1">
        <f t="shared" si="0"/>
        <v>10</v>
      </c>
      <c r="B11" s="1" t="s">
        <v>11</v>
      </c>
      <c r="C11" s="1" t="s">
        <v>91</v>
      </c>
      <c r="D11" s="2" t="d">
        <v>2023-04-01</v>
      </c>
      <c r="E11" s="2" t="d">
        <v>2023-08-01</v>
      </c>
      <c r="F11" s="1" t="s">
        <v>73</v>
      </c>
      <c r="G11" s="1">
        <v>-28.72</v>
      </c>
    </row>
    <row r="12" spans="1:7" ht="20" customHeight="1" x14ac:dyDescent="0.2">
      <c r="A12" s="1">
        <f t="shared" si="0"/>
        <v>11</v>
      </c>
      <c r="B12" s="1" t="s">
        <v>12</v>
      </c>
      <c r="C12" s="1" t="s">
        <v>92</v>
      </c>
      <c r="D12" s="2" t="d">
        <v>2023-04-02</v>
      </c>
      <c r="E12" s="2" t="d">
        <v>2023-08-02</v>
      </c>
      <c r="F12" s="1" t="s">
        <v>73</v>
      </c>
      <c r="G12" s="1">
        <v>-18.47</v>
      </c>
    </row>
    <row r="13" spans="1:7" ht="20" customHeight="1" x14ac:dyDescent="0.2">
      <c r="A13" s="1">
        <f t="shared" si="0"/>
        <v>12</v>
      </c>
      <c r="B13" s="1" t="s">
        <v>13</v>
      </c>
      <c r="C13" s="1" t="s">
        <v>93</v>
      </c>
      <c r="D13" s="2" t="d">
        <v>2023-04-02</v>
      </c>
      <c r="E13" s="2" t="d">
        <v>2023-08-02</v>
      </c>
      <c r="F13" s="1" t="s">
        <v>73</v>
      </c>
      <c r="G13" s="1">
        <v>344.86</v>
      </c>
    </row>
    <row r="14" spans="1:7" ht="20" customHeight="1" x14ac:dyDescent="0.2">
      <c r="A14" s="1">
        <f t="shared" si="0"/>
        <v>13</v>
      </c>
      <c r="B14" s="1" t="s">
        <v>14</v>
      </c>
      <c r="C14" s="1" t="s">
        <v>94</v>
      </c>
      <c r="D14" s="2" t="d">
        <v>2023-04-06</v>
      </c>
      <c r="E14" s="2" t="d">
        <v>2023-08-06</v>
      </c>
      <c r="F14" s="1" t="s">
        <v>73</v>
      </c>
      <c r="G14" s="1">
        <v>1.21</v>
      </c>
    </row>
    <row r="15" spans="1:7" ht="20" customHeight="1" x14ac:dyDescent="0.2">
      <c r="A15" s="1">
        <f t="shared" si="0"/>
        <v>14</v>
      </c>
      <c r="B15" s="1" t="s">
        <v>15</v>
      </c>
      <c r="C15" s="1" t="s">
        <v>95</v>
      </c>
      <c r="D15" s="2" t="d">
        <v>2023-04-20</v>
      </c>
      <c r="E15" s="2" t="d">
        <v>2023-08-20</v>
      </c>
      <c r="F15" s="1" t="s">
        <v>73</v>
      </c>
      <c r="G15" s="1">
        <v>-21.85</v>
      </c>
    </row>
    <row r="16" spans="1:7" ht="20" customHeight="1" x14ac:dyDescent="0.2">
      <c r="A16" s="1">
        <f t="shared" si="0"/>
        <v>15</v>
      </c>
      <c r="B16" s="1" t="s">
        <v>16</v>
      </c>
      <c r="C16" s="1" t="s">
        <v>96</v>
      </c>
      <c r="D16" s="2" t="d">
        <v>2023-04-23</v>
      </c>
      <c r="E16" s="2" t="d">
        <v>2023-08-23</v>
      </c>
      <c r="F16" s="1" t="s">
        <v>73</v>
      </c>
      <c r="G16" s="1">
        <v>-29.96</v>
      </c>
    </row>
    <row r="17" spans="1:7" ht="20" customHeight="1" x14ac:dyDescent="0.2">
      <c r="A17" s="1">
        <f t="shared" si="0"/>
        <v>16</v>
      </c>
      <c r="B17" s="1" t="s">
        <v>17</v>
      </c>
      <c r="C17" s="1" t="s">
        <v>97</v>
      </c>
      <c r="D17" s="2" t="d">
        <v>2023-04-23</v>
      </c>
      <c r="E17" s="2" t="d">
        <v>2023-08-23</v>
      </c>
      <c r="F17" s="1" t="s">
        <v>73</v>
      </c>
      <c r="G17" s="1">
        <v>-17.600000000000001</v>
      </c>
    </row>
    <row r="18" spans="1:7" ht="20" customHeight="1" x14ac:dyDescent="0.2">
      <c r="A18" s="1">
        <f t="shared" si="0"/>
        <v>17</v>
      </c>
      <c r="B18" s="1" t="s">
        <v>18</v>
      </c>
      <c r="C18" s="1" t="s">
        <v>98</v>
      </c>
      <c r="D18" s="2" t="d">
        <v>2023-05-12</v>
      </c>
      <c r="E18" s="2" t="d">
        <v>2023-09-12</v>
      </c>
      <c r="F18" s="1" t="s">
        <v>73</v>
      </c>
      <c r="G18" s="1">
        <v>175.07</v>
      </c>
    </row>
    <row r="19" spans="1:7" ht="20" customHeight="1" x14ac:dyDescent="0.2">
      <c r="A19" s="1">
        <f t="shared" si="0"/>
        <v>18</v>
      </c>
      <c r="B19" s="1" t="s">
        <v>19</v>
      </c>
      <c r="C19" s="1" t="s">
        <v>99</v>
      </c>
      <c r="D19" s="2" t="d">
        <v>2023-05-17</v>
      </c>
      <c r="E19" s="2" t="d">
        <v>2023-09-17</v>
      </c>
      <c r="F19" s="1" t="s">
        <v>73</v>
      </c>
      <c r="G19" s="1">
        <v>-10.45</v>
      </c>
    </row>
    <row r="20" spans="1:7" ht="20" customHeight="1" x14ac:dyDescent="0.2">
      <c r="A20" s="1">
        <f t="shared" si="0"/>
        <v>19</v>
      </c>
      <c r="B20" s="1" t="s">
        <v>20</v>
      </c>
      <c r="C20" s="1" t="s">
        <v>100</v>
      </c>
      <c r="D20" s="2" t="d">
        <v>2023-05-26</v>
      </c>
      <c r="E20" s="2" t="d">
        <v>2023-09-26</v>
      </c>
      <c r="F20" s="1" t="s">
        <v>73</v>
      </c>
      <c r="G20" s="1">
        <v>-0.28000000000000003</v>
      </c>
    </row>
    <row r="21" spans="1:7" ht="20" customHeight="1" x14ac:dyDescent="0.2">
      <c r="A21" s="1">
        <f t="shared" si="0"/>
        <v>20</v>
      </c>
      <c r="B21" s="1" t="s">
        <v>21</v>
      </c>
      <c r="C21" s="1" t="s">
        <v>101</v>
      </c>
      <c r="D21" s="2" t="d">
        <v>2023-06-18</v>
      </c>
      <c r="E21" s="2" t="d">
        <v>2023-10-18</v>
      </c>
      <c r="F21" s="1" t="s">
        <v>73</v>
      </c>
      <c r="G21" s="1">
        <v>-27.01</v>
      </c>
    </row>
    <row r="22" spans="1:7" ht="20" customHeight="1" x14ac:dyDescent="0.2">
      <c r="A22" s="1">
        <f t="shared" si="0"/>
        <v>21</v>
      </c>
      <c r="B22" s="1" t="s">
        <v>22</v>
      </c>
      <c r="C22" s="1" t="s">
        <v>102</v>
      </c>
      <c r="D22" s="2" t="d">
        <v>2023-06-18</v>
      </c>
      <c r="E22" s="2" t="d">
        <v>2023-10-18</v>
      </c>
      <c r="F22" s="1" t="s">
        <v>73</v>
      </c>
      <c r="G22" s="1">
        <v>-27.08</v>
      </c>
    </row>
    <row r="23" spans="1:7" ht="20" customHeight="1" x14ac:dyDescent="0.2">
      <c r="A23" s="1">
        <f t="shared" si="0"/>
        <v>22</v>
      </c>
      <c r="B23" s="1" t="s">
        <v>23</v>
      </c>
      <c r="C23" s="1" t="s">
        <v>103</v>
      </c>
      <c r="D23" s="2" t="d">
        <v>2023-06-21</v>
      </c>
      <c r="E23" s="2" t="d">
        <v>2023-10-21</v>
      </c>
      <c r="F23" s="1" t="s">
        <v>73</v>
      </c>
      <c r="G23" s="1">
        <v>111.94</v>
      </c>
    </row>
    <row r="24" spans="1:7" ht="20" customHeight="1" x14ac:dyDescent="0.2">
      <c r="A24" s="1">
        <f t="shared" si="0"/>
        <v>23</v>
      </c>
      <c r="B24" s="1" t="s">
        <v>24</v>
      </c>
      <c r="C24" s="1" t="s">
        <v>104</v>
      </c>
      <c r="D24" s="2" t="d">
        <v>2023-06-28</v>
      </c>
      <c r="E24" s="2" t="d">
        <v>2023-10-28</v>
      </c>
      <c r="F24" s="1" t="s">
        <v>73</v>
      </c>
      <c r="G24" s="1">
        <v>-6.57</v>
      </c>
    </row>
    <row r="25" spans="1:7" ht="20" customHeight="1" x14ac:dyDescent="0.2">
      <c r="A25" s="1">
        <f t="shared" si="0"/>
        <v>24</v>
      </c>
      <c r="B25" s="1" t="s">
        <v>25</v>
      </c>
      <c r="C25" s="1" t="s">
        <v>105</v>
      </c>
      <c r="D25" s="2" t="d">
        <v>2023-06-30</v>
      </c>
      <c r="E25" s="2" t="d">
        <v>2023-10-30</v>
      </c>
      <c r="F25" s="1" t="s">
        <v>73</v>
      </c>
      <c r="G25" s="1">
        <v>-15.99</v>
      </c>
    </row>
    <row r="26" spans="1:7" ht="20" customHeight="1" x14ac:dyDescent="0.2">
      <c r="A26" s="1">
        <f t="shared" si="0"/>
        <v>25</v>
      </c>
      <c r="B26" s="1" t="s">
        <v>26</v>
      </c>
      <c r="C26" s="1" t="s">
        <v>106</v>
      </c>
      <c r="D26" s="2" t="d">
        <v>2023-07-15</v>
      </c>
      <c r="E26" s="2" t="d">
        <v>2023-11-15</v>
      </c>
      <c r="F26" s="1" t="s">
        <v>73</v>
      </c>
      <c r="G26" s="1">
        <v>-24.82</v>
      </c>
    </row>
    <row r="27" spans="1:7" ht="20" customHeight="1" x14ac:dyDescent="0.2">
      <c r="A27" s="1">
        <f t="shared" si="0"/>
        <v>26</v>
      </c>
      <c r="B27" s="1" t="s">
        <v>27</v>
      </c>
      <c r="C27" s="1" t="s">
        <v>107</v>
      </c>
      <c r="D27" s="2" t="d">
        <v>2023-07-15</v>
      </c>
      <c r="E27" s="2" t="d">
        <v>2023-11-15</v>
      </c>
      <c r="F27" s="1" t="s">
        <v>73</v>
      </c>
      <c r="G27" s="1">
        <v>-5.29</v>
      </c>
    </row>
    <row r="28" spans="1:7" ht="20" customHeight="1" x14ac:dyDescent="0.2">
      <c r="A28" s="1">
        <f t="shared" si="0"/>
        <v>27</v>
      </c>
      <c r="B28" s="1" t="s">
        <v>28</v>
      </c>
      <c r="C28" s="1" t="s">
        <v>108</v>
      </c>
      <c r="D28" s="2" t="d">
        <v>2023-08-16</v>
      </c>
      <c r="E28" s="2" t="d">
        <v>2023-12-16</v>
      </c>
      <c r="F28" s="1" t="s">
        <v>73</v>
      </c>
      <c r="G28" s="1">
        <v>-3.62</v>
      </c>
    </row>
    <row r="29" spans="1:7" ht="20" customHeight="1" x14ac:dyDescent="0.2">
      <c r="A29" s="1">
        <f t="shared" si="0"/>
        <v>28</v>
      </c>
      <c r="B29" s="1" t="s">
        <v>29</v>
      </c>
      <c r="C29" s="1" t="s">
        <v>109</v>
      </c>
      <c r="D29" s="2" t="d">
        <v>2023-08-16</v>
      </c>
      <c r="E29" s="2" t="d">
        <v>2023-12-16</v>
      </c>
      <c r="F29" s="1" t="s">
        <v>73</v>
      </c>
      <c r="G29" s="1">
        <v>13.56</v>
      </c>
    </row>
    <row r="30" spans="1:7" ht="20" customHeight="1" x14ac:dyDescent="0.2">
      <c r="A30" s="1">
        <f t="shared" si="0"/>
        <v>29</v>
      </c>
      <c r="B30" s="1" t="s">
        <v>30</v>
      </c>
      <c r="C30" s="1" t="s">
        <v>110</v>
      </c>
      <c r="D30" s="2" t="d">
        <v>2023-08-23</v>
      </c>
      <c r="E30" s="2" t="d">
        <v>2023-12-23</v>
      </c>
      <c r="F30" s="1" t="s">
        <v>73</v>
      </c>
      <c r="G30" s="1">
        <v>12.75</v>
      </c>
    </row>
    <row r="31" spans="1:7" ht="20" customHeight="1" x14ac:dyDescent="0.2">
      <c r="A31" s="1">
        <f t="shared" si="0"/>
        <v>30</v>
      </c>
      <c r="B31" s="1" t="s">
        <v>31</v>
      </c>
      <c r="C31" s="1" t="s">
        <v>111</v>
      </c>
      <c r="D31" s="2" t="d">
        <v>2023-08-23</v>
      </c>
      <c r="E31" s="2" t="d">
        <v>2023-12-23</v>
      </c>
      <c r="F31" s="1" t="s">
        <v>73</v>
      </c>
      <c r="G31" s="1">
        <v>89.47</v>
      </c>
    </row>
    <row r="32" spans="1:7" ht="20" customHeight="1" x14ac:dyDescent="0.2">
      <c r="A32" s="1">
        <f t="shared" si="0"/>
        <v>31</v>
      </c>
      <c r="B32" s="1" t="s">
        <v>32</v>
      </c>
      <c r="C32" s="1" t="s">
        <v>112</v>
      </c>
      <c r="D32" s="2" t="d">
        <v>2023-08-23</v>
      </c>
      <c r="E32" s="2" t="d">
        <v>2023-12-23</v>
      </c>
      <c r="F32" s="1" t="s">
        <v>73</v>
      </c>
      <c r="G32" s="1">
        <v>25.53</v>
      </c>
    </row>
    <row r="33" spans="1:7" ht="20" customHeight="1" x14ac:dyDescent="0.2">
      <c r="A33" s="1">
        <f t="shared" si="0"/>
        <v>32</v>
      </c>
      <c r="B33" s="1" t="s">
        <v>33</v>
      </c>
      <c r="C33" s="1" t="s">
        <v>113</v>
      </c>
      <c r="D33" s="2" t="d">
        <v>2023-08-31</v>
      </c>
      <c r="E33" s="2" t="d">
        <v>2023-12-31</v>
      </c>
      <c r="F33" s="1" t="s">
        <v>73</v>
      </c>
      <c r="G33" s="1">
        <v>7.66</v>
      </c>
    </row>
    <row r="34" spans="1:7" ht="20" customHeight="1" x14ac:dyDescent="0.2">
      <c r="A34" s="1">
        <f t="shared" si="0"/>
        <v>33</v>
      </c>
      <c r="B34" s="1" t="s">
        <v>34</v>
      </c>
      <c r="C34" s="1" t="s">
        <v>114</v>
      </c>
      <c r="D34" s="2" t="d">
        <v>2023-09-27</v>
      </c>
      <c r="E34" s="2" t="d">
        <v>2024-01-27</v>
      </c>
      <c r="F34" s="1" t="s">
        <v>73</v>
      </c>
      <c r="G34" s="1">
        <v>19</v>
      </c>
    </row>
    <row r="35" spans="1:7" ht="20" customHeight="1" x14ac:dyDescent="0.2">
      <c r="A35" s="1">
        <f t="shared" si="0"/>
        <v>34</v>
      </c>
      <c r="B35" s="1" t="s">
        <v>35</v>
      </c>
      <c r="C35" s="1" t="s">
        <v>115</v>
      </c>
      <c r="D35" s="2" t="d">
        <v>2023-10-01</v>
      </c>
      <c r="E35" s="2" t="d">
        <v>2024-02-01</v>
      </c>
      <c r="F35" s="1" t="s">
        <v>73</v>
      </c>
      <c r="G35" s="1">
        <v>27.12</v>
      </c>
    </row>
    <row r="36" spans="1:7" ht="20" customHeight="1" x14ac:dyDescent="0.2">
      <c r="A36" s="1">
        <f t="shared" si="0"/>
        <v>35</v>
      </c>
      <c r="B36" s="1" t="s">
        <v>36</v>
      </c>
      <c r="C36" s="1" t="s">
        <v>116</v>
      </c>
      <c r="D36" s="2" t="d">
        <v>2023-10-05</v>
      </c>
      <c r="E36" s="2" t="d">
        <v>2024-02-05</v>
      </c>
      <c r="F36" s="1" t="s">
        <v>73</v>
      </c>
      <c r="G36" s="1">
        <v>22.55</v>
      </c>
    </row>
    <row r="37" spans="1:7" ht="20" customHeight="1" x14ac:dyDescent="0.2">
      <c r="A37" s="1">
        <f t="shared" si="0"/>
        <v>36</v>
      </c>
      <c r="B37" s="1" t="s">
        <v>37</v>
      </c>
      <c r="C37" s="1" t="s">
        <v>117</v>
      </c>
      <c r="D37" s="2" t="d">
        <v>2023-10-05</v>
      </c>
      <c r="E37" s="2" t="d">
        <v>2024-02-05</v>
      </c>
      <c r="F37" s="1" t="s">
        <v>73</v>
      </c>
      <c r="G37" s="1">
        <v>19.77</v>
      </c>
    </row>
    <row r="38" spans="1:7" ht="20" customHeight="1" x14ac:dyDescent="0.2">
      <c r="A38" s="1">
        <f t="shared" si="0"/>
        <v>37</v>
      </c>
      <c r="B38" s="1" t="s">
        <v>38</v>
      </c>
      <c r="C38" s="1" t="s">
        <v>118</v>
      </c>
      <c r="D38" s="2" t="d">
        <v>2023-10-11</v>
      </c>
      <c r="E38" s="2" t="d">
        <v>2024-02-11</v>
      </c>
      <c r="F38" s="1" t="s">
        <v>73</v>
      </c>
      <c r="G38" s="1">
        <v>16.34</v>
      </c>
    </row>
    <row r="39" spans="1:7" ht="20" customHeight="1" x14ac:dyDescent="0.2">
      <c r="A39" s="1">
        <f t="shared" si="0"/>
        <v>38</v>
      </c>
      <c r="B39" s="1" t="s">
        <v>39</v>
      </c>
      <c r="C39" s="1" t="s">
        <v>119</v>
      </c>
      <c r="D39" s="2" t="d">
        <v>2023-10-21</v>
      </c>
      <c r="E39" s="2" t="d">
        <v>2024-02-21</v>
      </c>
      <c r="F39" s="1" t="s">
        <v>73</v>
      </c>
      <c r="G39" s="1">
        <v>65.930000000000007</v>
      </c>
    </row>
    <row r="40" spans="1:7" ht="20" customHeight="1" x14ac:dyDescent="0.2">
      <c r="A40" s="1">
        <f t="shared" si="0"/>
        <v>39</v>
      </c>
      <c r="B40" s="1" t="s">
        <v>40</v>
      </c>
      <c r="C40" s="1" t="s">
        <v>120</v>
      </c>
      <c r="D40" s="2" t="d">
        <v>2023-10-21</v>
      </c>
      <c r="E40" s="2" t="d">
        <v>2024-02-21</v>
      </c>
      <c r="F40" s="1" t="s">
        <v>73</v>
      </c>
      <c r="G40" s="1">
        <v>216.58</v>
      </c>
    </row>
    <row r="41" spans="1:7" ht="20" customHeight="1" x14ac:dyDescent="0.2">
      <c r="A41" s="1">
        <f t="shared" si="0"/>
        <v>40</v>
      </c>
      <c r="B41" s="1" t="s">
        <v>41</v>
      </c>
      <c r="C41" s="1" t="s">
        <v>121</v>
      </c>
      <c r="D41" s="2" t="d">
        <v>2023-10-22</v>
      </c>
      <c r="E41" s="2" t="d">
        <v>2024-02-22</v>
      </c>
      <c r="F41" s="1" t="s">
        <v>73</v>
      </c>
      <c r="G41" s="1">
        <v>64.989999999999995</v>
      </c>
    </row>
    <row r="42" spans="1:7" ht="20" customHeight="1" x14ac:dyDescent="0.2">
      <c r="A42" s="1">
        <f t="shared" si="0"/>
        <v>41</v>
      </c>
      <c r="B42" s="1" t="s">
        <v>42</v>
      </c>
      <c r="C42" s="1" t="s">
        <v>122</v>
      </c>
      <c r="D42" s="2" t="d">
        <v>2023-10-22</v>
      </c>
      <c r="E42" s="2" t="d">
        <v>2024-02-22</v>
      </c>
      <c r="F42" s="1" t="s">
        <v>73</v>
      </c>
      <c r="G42" s="1">
        <v>107.2</v>
      </c>
    </row>
    <row r="43" spans="1:7" ht="20" customHeight="1" x14ac:dyDescent="0.2">
      <c r="A43" s="1">
        <f t="shared" si="0"/>
        <v>42</v>
      </c>
      <c r="B43" s="1" t="s">
        <v>43</v>
      </c>
      <c r="C43" s="1" t="s">
        <v>123</v>
      </c>
      <c r="D43" s="2" t="d">
        <v>2023-11-08</v>
      </c>
      <c r="E43" s="2" t="d">
        <v>2024-03-08</v>
      </c>
      <c r="F43" s="1" t="s">
        <v>73</v>
      </c>
      <c r="G43" s="1">
        <v>85.35</v>
      </c>
    </row>
    <row r="44" spans="1:7" ht="20" customHeight="1" x14ac:dyDescent="0.2">
      <c r="A44" s="1">
        <f t="shared" si="0"/>
        <v>43</v>
      </c>
      <c r="B44" s="1" t="s">
        <v>44</v>
      </c>
      <c r="C44" s="1" t="s">
        <v>124</v>
      </c>
      <c r="D44" s="2" t="d">
        <v>2023-11-30</v>
      </c>
      <c r="E44" s="2" t="d">
        <v>2024-03-30</v>
      </c>
      <c r="F44" s="1" t="s">
        <v>73</v>
      </c>
      <c r="G44" s="1">
        <v>50.54</v>
      </c>
    </row>
    <row r="45" spans="1:7" ht="20" customHeight="1" x14ac:dyDescent="0.2">
      <c r="A45" s="1">
        <f t="shared" si="0"/>
        <v>44</v>
      </c>
      <c r="B45" s="1" t="s">
        <v>45</v>
      </c>
      <c r="C45" s="1" t="s">
        <v>125</v>
      </c>
      <c r="D45" s="2" t="d">
        <v>2023-12-17</v>
      </c>
      <c r="E45" s="2" t="d">
        <v>2024-04-17</v>
      </c>
      <c r="F45" s="1" t="s">
        <v>73</v>
      </c>
      <c r="G45" s="1">
        <v>36.68</v>
      </c>
    </row>
    <row r="46" spans="1:7" ht="20" customHeight="1" x14ac:dyDescent="0.2">
      <c r="A46" s="1">
        <f t="shared" si="0"/>
        <v>45</v>
      </c>
      <c r="B46" s="1" t="s">
        <v>46</v>
      </c>
      <c r="C46" s="1" t="s">
        <v>126</v>
      </c>
      <c r="D46" s="2" t="d">
        <v>2023-12-24</v>
      </c>
      <c r="E46" s="2" t="d">
        <v>2024-04-24</v>
      </c>
      <c r="F46" s="1" t="s">
        <v>73</v>
      </c>
      <c r="G46" s="1">
        <v>146.65</v>
      </c>
    </row>
    <row r="47" spans="1:7" ht="20" customHeight="1" x14ac:dyDescent="0.2">
      <c r="A47" s="1">
        <f t="shared" si="0"/>
        <v>46</v>
      </c>
      <c r="B47" s="1" t="s">
        <v>47</v>
      </c>
      <c r="C47" s="1" t="s">
        <v>127</v>
      </c>
      <c r="D47" s="2" t="d">
        <v>2023-12-31</v>
      </c>
      <c r="E47" s="2" t="d">
        <v>2024-04-30</v>
      </c>
      <c r="F47" s="1" t="s">
        <v>73</v>
      </c>
      <c r="G47" s="1">
        <v>4.49</v>
      </c>
    </row>
    <row r="48" spans="1:7" ht="20" customHeight="1" x14ac:dyDescent="0.2">
      <c r="A48" s="1">
        <f t="shared" si="0"/>
        <v>47</v>
      </c>
      <c r="B48" s="1" t="s">
        <v>48</v>
      </c>
      <c r="C48" s="1" t="s">
        <v>128</v>
      </c>
      <c r="D48" s="2" t="d">
        <v>2023-12-31</v>
      </c>
      <c r="E48" s="2" t="d">
        <v>2024-04-30</v>
      </c>
      <c r="F48" s="1" t="s">
        <v>73</v>
      </c>
      <c r="G48" s="1">
        <v>118.82</v>
      </c>
    </row>
    <row r="49" spans="1:7" ht="20" customHeight="1" x14ac:dyDescent="0.2">
      <c r="A49" s="1">
        <f t="shared" si="0"/>
        <v>48</v>
      </c>
      <c r="B49" s="1" t="s">
        <v>49</v>
      </c>
      <c r="C49" s="1" t="s">
        <v>129</v>
      </c>
      <c r="D49" s="2" t="d">
        <v>2023-12-31</v>
      </c>
      <c r="E49" s="2" t="d">
        <v>2024-04-30</v>
      </c>
      <c r="F49" s="1" t="s">
        <v>73</v>
      </c>
      <c r="G49" s="1">
        <v>-12.2</v>
      </c>
    </row>
    <row r="50" spans="1:7" ht="20" customHeight="1" x14ac:dyDescent="0.2">
      <c r="A50" s="1">
        <f t="shared" si="0"/>
        <v>49</v>
      </c>
      <c r="B50" s="1" t="s">
        <v>50</v>
      </c>
      <c r="C50" s="1" t="s">
        <v>130</v>
      </c>
      <c r="D50" s="2" t="d">
        <v>2024-01-18</v>
      </c>
      <c r="E50" s="2" t="d">
        <v>2024-05-18</v>
      </c>
      <c r="F50" s="1" t="s">
        <v>73</v>
      </c>
      <c r="G50" s="1">
        <v>-11.32</v>
      </c>
    </row>
    <row r="51" spans="1:7" ht="20" customHeight="1" x14ac:dyDescent="0.2">
      <c r="A51" s="1">
        <f t="shared" si="0"/>
        <v>50</v>
      </c>
      <c r="B51" s="1" t="s">
        <v>51</v>
      </c>
      <c r="C51" s="1" t="s">
        <v>131</v>
      </c>
      <c r="D51" s="2" t="d">
        <v>2024-03-29</v>
      </c>
      <c r="E51" s="2" t="d">
        <v>2024-07-29</v>
      </c>
      <c r="F51" s="1" t="s">
        <v>73</v>
      </c>
      <c r="G51" s="1">
        <v>-5.8</v>
      </c>
    </row>
    <row r="52" spans="1:7" ht="20" customHeight="1" x14ac:dyDescent="0.2">
      <c r="A52" s="1">
        <f t="shared" si="0"/>
        <v>51</v>
      </c>
      <c r="B52" s="1" t="s">
        <v>52</v>
      </c>
      <c r="C52" s="1" t="s">
        <v>132</v>
      </c>
      <c r="D52" s="2" t="d">
        <v>2025-02-19</v>
      </c>
      <c r="E52" s="2" t="d">
        <v>2025-06-19</v>
      </c>
      <c r="F52" s="1" t="s">
        <v>73</v>
      </c>
      <c r="G52" s="1">
        <v>213.17</v>
      </c>
    </row>
    <row r="53" spans="1:7" ht="20" customHeight="1" x14ac:dyDescent="0.2">
      <c r="A53" s="1">
        <f t="shared" si="0"/>
        <v>52</v>
      </c>
      <c r="B53" s="1" t="s">
        <v>53</v>
      </c>
      <c r="C53" s="1" t="s">
        <v>133</v>
      </c>
      <c r="D53" s="2" t="d">
        <v>2025-04-18</v>
      </c>
      <c r="E53" s="2" t="d">
        <v>2025-08-18</v>
      </c>
      <c r="F53" s="1" t="s">
        <v>73</v>
      </c>
      <c r="G53" s="1">
        <v>122.86</v>
      </c>
    </row>
    <row r="54" spans="1:7" ht="20" customHeight="1" x14ac:dyDescent="0.2">
      <c r="A54" s="1">
        <f t="shared" si="0"/>
        <v>53</v>
      </c>
      <c r="B54" s="1" t="s">
        <v>54</v>
      </c>
      <c r="C54" s="1" t="s">
        <v>134</v>
      </c>
      <c r="D54" s="2" t="d">
        <v>2025-04-20</v>
      </c>
      <c r="E54" s="2" t="d">
        <v>2025-08-20</v>
      </c>
      <c r="F54" s="1" t="s">
        <v>73</v>
      </c>
      <c r="G54" s="1">
        <v>133.34</v>
      </c>
    </row>
    <row r="55" spans="1:7" ht="20" customHeight="1" x14ac:dyDescent="0.2">
      <c r="A55" s="1">
        <f t="shared" si="0"/>
        <v>54</v>
      </c>
      <c r="B55" s="1" t="s">
        <v>55</v>
      </c>
      <c r="C55" s="1" t="s">
        <v>135</v>
      </c>
      <c r="D55" s="2" t="d">
        <v>2025-05-14</v>
      </c>
      <c r="E55" s="2" t="d">
        <v>2025-09-14</v>
      </c>
      <c r="F55" s="1" t="s">
        <v>73</v>
      </c>
      <c r="G55" s="1">
        <v>105.81</v>
      </c>
    </row>
    <row r="56" spans="1:7" ht="20" customHeight="1" x14ac:dyDescent="0.2">
      <c r="A56" s="1">
        <f t="shared" si="0"/>
        <v>55</v>
      </c>
      <c r="B56" s="1" t="s">
        <v>56</v>
      </c>
      <c r="C56" s="1" t="s">
        <v>136</v>
      </c>
      <c r="D56" s="2" t="d">
        <v>2025-06-06</v>
      </c>
      <c r="E56" s="2" t="d">
        <v>2025-10-06</v>
      </c>
      <c r="F56" s="1" t="s">
        <v>73</v>
      </c>
      <c r="G56" s="1">
        <v>41.44</v>
      </c>
    </row>
    <row r="57" spans="1:7" ht="20" customHeight="1" x14ac:dyDescent="0.2">
      <c r="A57" s="1">
        <f t="shared" si="0"/>
        <v>56</v>
      </c>
      <c r="B57" s="1" t="s">
        <v>57</v>
      </c>
      <c r="C57" s="1" t="s">
        <v>137</v>
      </c>
      <c r="D57" s="2" t="d">
        <v>2025-07-27</v>
      </c>
      <c r="E57" s="2" t="d">
        <v>2025-11-27</v>
      </c>
      <c r="F57" s="1" t="s">
        <v>73</v>
      </c>
      <c r="G57" s="1">
        <v>8.42</v>
      </c>
    </row>
    <row r="58" spans="1:7" ht="20" customHeight="1" x14ac:dyDescent="0.2">
      <c r="A58" s="1">
        <f t="shared" si="0"/>
        <v>57</v>
      </c>
      <c r="B58" s="1" t="s">
        <v>58</v>
      </c>
      <c r="C58" s="1" t="s">
        <v>138</v>
      </c>
      <c r="D58" s="2" t="d">
        <v>2025-07-30</v>
      </c>
      <c r="E58" s="2" t="d">
        <v>2025-11-30</v>
      </c>
      <c r="F58" s="1" t="s">
        <v>73</v>
      </c>
      <c r="G58" s="1">
        <v>-23.16</v>
      </c>
    </row>
    <row r="59" spans="1:7" ht="20" customHeight="1" x14ac:dyDescent="0.2">
      <c r="A59" s="1">
        <f t="shared" si="0"/>
        <v>58</v>
      </c>
      <c r="B59" s="1" t="s">
        <v>59</v>
      </c>
      <c r="C59" s="1" t="s">
        <v>139</v>
      </c>
      <c r="D59" s="2" t="d">
        <v>2025-08-30</v>
      </c>
      <c r="E59" s="2" t="d">
        <v>2025-12-30</v>
      </c>
      <c r="F59" s="1" t="s">
        <v>73</v>
      </c>
      <c r="G59" s="1">
        <v>-12.39</v>
      </c>
    </row>
    <row r="60" spans="1:7" ht="20" customHeight="1" x14ac:dyDescent="0.2">
      <c r="A60" s="1">
        <f t="shared" si="0"/>
        <v>59</v>
      </c>
      <c r="B60" s="1" t="s">
        <v>60</v>
      </c>
      <c r="C60" s="1" t="s">
        <v>140</v>
      </c>
      <c r="D60" s="2" t="d">
        <v>2025-09-11</v>
      </c>
      <c r="E60" s="2" t="d">
        <v>2026-01-11</v>
      </c>
      <c r="F60" s="1" t="s">
        <v>73</v>
      </c>
      <c r="G60" s="1">
        <v>100</v>
      </c>
    </row>
    <row r="61" spans="1:7" ht="20" customHeight="1" x14ac:dyDescent="0.2">
      <c r="A61" s="1">
        <f t="shared" si="0"/>
        <v>60</v>
      </c>
      <c r="B61" s="1" t="s">
        <v>61</v>
      </c>
      <c r="C61" s="1" t="s">
        <v>141</v>
      </c>
      <c r="D61" s="2" t="d">
        <v>2025-11-14</v>
      </c>
      <c r="E61" s="2" t="d">
        <v>2026-03-14</v>
      </c>
      <c r="F61" s="1" t="s">
        <v>73</v>
      </c>
      <c r="G61" s="1">
        <v>43.65</v>
      </c>
    </row>
    <row r="62" spans="1:7" ht="20" customHeight="1" x14ac:dyDescent="0.2">
      <c r="A62" s="1">
        <f t="shared" si="0"/>
        <v>61</v>
      </c>
      <c r="B62" s="1" t="s">
        <v>62</v>
      </c>
      <c r="C62" s="1" t="s">
        <v>142</v>
      </c>
      <c r="D62" s="2" t="d">
        <v>2025-11-16</v>
      </c>
      <c r="E62" s="2" t="d">
        <v>2026-03-16</v>
      </c>
      <c r="F62" s="1" t="s">
        <v>73</v>
      </c>
      <c r="G62" s="1">
        <v>35.5</v>
      </c>
    </row>
    <row r="63" spans="1:7" ht="20" customHeight="1" x14ac:dyDescent="0.2">
      <c r="A63" s="1">
        <f t="shared" si="0"/>
        <v>62</v>
      </c>
      <c r="B63" s="1" t="s">
        <v>63</v>
      </c>
      <c r="C63" s="1" t="s">
        <v>143</v>
      </c>
      <c r="D63" s="2" t="d">
        <v>2025-11-19</v>
      </c>
      <c r="E63" s="2" t="d">
        <v>2026-03-19</v>
      </c>
      <c r="F63" s="1" t="s">
        <v>73</v>
      </c>
      <c r="G63" s="1">
        <v>156.91</v>
      </c>
    </row>
    <row r="64" spans="1:7" ht="20" customHeight="1" x14ac:dyDescent="0.2">
      <c r="A64" s="1">
        <f t="shared" si="0"/>
        <v>63</v>
      </c>
      <c r="B64" s="1" t="s">
        <v>64</v>
      </c>
      <c r="C64" s="1" t="s">
        <v>144</v>
      </c>
      <c r="D64" s="2" t="d">
        <v>2025-11-20</v>
      </c>
      <c r="E64" s="2" t="d">
        <v>2026-03-20</v>
      </c>
      <c r="F64" s="1" t="s">
        <v>73</v>
      </c>
      <c r="G64" s="1">
        <v>9.51</v>
      </c>
    </row>
    <row r="65" spans="1:7" ht="20" customHeight="1" x14ac:dyDescent="0.2">
      <c r="A65" s="1">
        <f t="shared" si="0"/>
        <v>64</v>
      </c>
      <c r="B65" s="1" t="s">
        <v>65</v>
      </c>
      <c r="C65" s="1" t="s">
        <v>145</v>
      </c>
      <c r="D65" s="2" t="d">
        <v>2025-11-21</v>
      </c>
      <c r="E65" s="2" t="d">
        <v>2026-03-21</v>
      </c>
      <c r="F65" s="1" t="s">
        <v>73</v>
      </c>
      <c r="G65" s="1">
        <v>40.43</v>
      </c>
    </row>
    <row r="66" spans="1:7" ht="20" customHeight="1" x14ac:dyDescent="0.2">
      <c r="A66" s="1">
        <f t="shared" si="0"/>
        <v>65</v>
      </c>
      <c r="B66" s="1" t="s">
        <v>66</v>
      </c>
      <c r="C66" s="1" t="s">
        <v>146</v>
      </c>
      <c r="D66" s="2" t="d">
        <v>2025-11-21</v>
      </c>
      <c r="E66" s="2" t="d">
        <v>2026-03-21</v>
      </c>
      <c r="F66" s="1" t="s">
        <v>73</v>
      </c>
      <c r="G66" s="1">
        <v>405.21</v>
      </c>
    </row>
    <row r="67" spans="1:7" ht="20" customHeight="1" x14ac:dyDescent="0.2">
      <c r="A67" s="1">
        <f t="shared" ref="A67:A71" si="1">ROW()-1</f>
        <v>66</v>
      </c>
      <c r="B67" s="1" t="s">
        <v>67</v>
      </c>
      <c r="C67" s="1" t="s">
        <v>147</v>
      </c>
      <c r="D67" s="2" t="d">
        <v>2025-11-26</v>
      </c>
      <c r="E67" s="2" t="d">
        <v>2026-03-26</v>
      </c>
      <c r="F67" s="1" t="s">
        <v>73</v>
      </c>
      <c r="G67" s="1">
        <v>116.71</v>
      </c>
    </row>
    <row r="68" spans="1:7" ht="20" customHeight="1" x14ac:dyDescent="0.2">
      <c r="A68" s="1">
        <f t="shared" si="1"/>
        <v>67</v>
      </c>
      <c r="B68" s="1" t="s">
        <v>68</v>
      </c>
      <c r="C68" s="1" t="s">
        <v>148</v>
      </c>
      <c r="D68" s="2" t="d">
        <v>2025-12-04</v>
      </c>
      <c r="E68" s="2" t="d">
        <v>2026-04-04</v>
      </c>
      <c r="F68" s="1" t="s">
        <v>73</v>
      </c>
      <c r="G68" s="1">
        <v>82.92</v>
      </c>
    </row>
    <row r="69" spans="1:7" ht="20" customHeight="1" x14ac:dyDescent="0.2">
      <c r="A69" s="1">
        <f t="shared" si="1"/>
        <v>68</v>
      </c>
      <c r="B69" s="1" t="s">
        <v>69</v>
      </c>
      <c r="C69" s="1" t="s">
        <v>149</v>
      </c>
      <c r="D69" s="2" t="d">
        <v>2025-12-20</v>
      </c>
      <c r="E69" s="2" t="d">
        <v>2026-04-20</v>
      </c>
      <c r="F69" s="1" t="s">
        <v>73</v>
      </c>
      <c r="G69" s="1">
        <v>150.5</v>
      </c>
    </row>
    <row r="70" spans="1:7" ht="20" customHeight="1" x14ac:dyDescent="0.2">
      <c r="A70" s="1">
        <f t="shared" si="1"/>
        <v>69</v>
      </c>
      <c r="B70" s="1" t="s">
        <v>70</v>
      </c>
      <c r="C70" s="1" t="s">
        <v>70</v>
      </c>
      <c r="D70" s="2" t="d">
        <v>2026-02-26</v>
      </c>
      <c r="E70" s="2" t="d">
        <v>2026-05-10</v>
      </c>
      <c r="F70" s="1" t="s">
        <v>73</v>
      </c>
      <c r="G70" s="1">
        <v>9.64</v>
      </c>
    </row>
    <row r="71" spans="1:7" ht="20" customHeight="1" x14ac:dyDescent="0.2">
      <c r="A71" s="1">
        <f t="shared" si="1"/>
        <v>70</v>
      </c>
      <c r="B71" s="1" t="s">
        <v>71</v>
      </c>
      <c r="C71" s="1" t="s">
        <v>150</v>
      </c>
      <c r="D71" s="2" t="d">
        <v>2026-02-26</v>
      </c>
      <c r="E71" s="2" t="d">
        <v>2026-05-10</v>
      </c>
      <c r="F71" s="3" t="s">
        <v>73</v>
      </c>
      <c r="G71" s="3">
        <v>111.29</v>
      </c>
    </row>
    <row r="72" spans="1:7" ht="20" customHeight="1" x14ac:dyDescent="0.2">
      <c r="F72" s="20" t="s">
        <v>151</v>
      </c>
      <c r="G72" s="21">
        <f>AVERAGE(G2:G71)</f>
        <v>51.431857142857147</v>
      </c>
    </row>
    <row r="73" spans="1:7" ht="20" customHeight="1" x14ac:dyDescent="0.2">
      <c r="F73" s="20" t="s">
        <v>152</v>
      </c>
      <c r="G73" s="21">
        <f>((1+G72/100)^(365/120)-1)*100</f>
        <v>253.31396010990321</v>
      </c>
    </row>
    <row r="74" spans="1:7" x14ac:dyDescent="0.2">
      <c r="F74" s="20" t="s">
        <v>166</v>
      </c>
      <c r="G74" s="21">
        <f>MEDIAN(G2:G71)</f>
        <v>25.945</v>
      </c>
    </row>
    <row r="76" spans="1:7" x14ac:dyDescent="0.2">
      <c r="E76" s="23" t="s">
        <v>168</v>
      </c>
      <c r="F76">
        <v>20</v>
      </c>
    </row>
  </sheetData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topLeftCell="B55" zoomScale="140" zoomScaleNormal="140" workbookViewId="0">
      <selection activeCell="F72" sqref="F72:G74"/>
    </sheetView>
  </sheetViews>
  <sheetFormatPr baseColWidth="10" defaultRowHeight="16" x14ac:dyDescent="0.2"/>
  <cols>
    <col min="1" max="1" width="3.1640625" bestFit="1" customWidth="1"/>
    <col min="2" max="2" width="9.1640625" bestFit="1" customWidth="1"/>
    <col min="3" max="3" width="44" bestFit="1" customWidth="1"/>
    <col min="4" max="4" width="11.5" bestFit="1" customWidth="1"/>
    <col min="5" max="5" width="12" bestFit="1" customWidth="1"/>
    <col min="6" max="6" width="12.33203125" bestFit="1" customWidth="1"/>
    <col min="7" max="7" width="14.33203125" bestFit="1" customWidth="1"/>
  </cols>
  <sheetData>
    <row r="1" spans="1:7" ht="35" customHeight="1" x14ac:dyDescent="0.2">
      <c r="A1" s="4" t="s">
        <v>0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1</v>
      </c>
      <c r="G1" s="4" t="s">
        <v>81</v>
      </c>
    </row>
    <row r="2" spans="1:7" ht="20" customHeight="1" x14ac:dyDescent="0.2">
      <c r="A2" s="1">
        <f>ROW()-1</f>
        <v>1</v>
      </c>
      <c r="B2" s="1" t="s">
        <v>2</v>
      </c>
      <c r="C2" s="1" t="s">
        <v>82</v>
      </c>
      <c r="D2" s="2" t="d">
        <v>2022-10-26</v>
      </c>
      <c r="E2" s="2" t="d">
        <v>2023-04-26</v>
      </c>
      <c r="F2" s="1" t="s">
        <v>1</v>
      </c>
      <c r="G2" s="1">
        <v>37.14</v>
      </c>
    </row>
    <row r="3" spans="1:7" ht="20" customHeight="1" x14ac:dyDescent="0.2">
      <c r="A3" s="1">
        <f t="shared" ref="A3:A66" si="0">ROW()-1</f>
        <v>2</v>
      </c>
      <c r="B3" s="1" t="s">
        <v>3</v>
      </c>
      <c r="C3" s="1" t="s">
        <v>83</v>
      </c>
      <c r="D3" s="2" t="d">
        <v>2022-10-27</v>
      </c>
      <c r="E3" s="2" t="d">
        <v>2023-04-27</v>
      </c>
      <c r="F3" s="1" t="s">
        <v>1</v>
      </c>
      <c r="G3" s="1">
        <v>26</v>
      </c>
    </row>
    <row r="4" spans="1:7" ht="20" customHeight="1" x14ac:dyDescent="0.2">
      <c r="A4" s="1">
        <f t="shared" si="0"/>
        <v>3</v>
      </c>
      <c r="B4" s="1" t="s">
        <v>4</v>
      </c>
      <c r="C4" s="1" t="s">
        <v>84</v>
      </c>
      <c r="D4" s="2" t="d">
        <v>2022-11-25</v>
      </c>
      <c r="E4" s="2" t="d">
        <v>2023-05-25</v>
      </c>
      <c r="F4" s="1" t="s">
        <v>1</v>
      </c>
      <c r="G4" s="1">
        <v>16.77</v>
      </c>
    </row>
    <row r="5" spans="1:7" ht="20" customHeight="1" x14ac:dyDescent="0.2">
      <c r="A5" s="1">
        <f t="shared" si="0"/>
        <v>4</v>
      </c>
      <c r="B5" s="1" t="s">
        <v>5</v>
      </c>
      <c r="C5" s="1" t="s">
        <v>85</v>
      </c>
      <c r="D5" s="2" t="d">
        <v>2022-12-24</v>
      </c>
      <c r="E5" s="2" t="d">
        <v>2023-06-24</v>
      </c>
      <c r="F5" s="1" t="s">
        <v>1</v>
      </c>
      <c r="G5" s="1">
        <v>13.88</v>
      </c>
    </row>
    <row r="6" spans="1:7" ht="20" customHeight="1" x14ac:dyDescent="0.2">
      <c r="A6" s="1">
        <f t="shared" si="0"/>
        <v>5</v>
      </c>
      <c r="B6" s="1" t="s">
        <v>6</v>
      </c>
      <c r="C6" s="1" t="s">
        <v>86</v>
      </c>
      <c r="D6" s="2" t="d">
        <v>2022-12-24</v>
      </c>
      <c r="E6" s="2" t="d">
        <v>2023-06-24</v>
      </c>
      <c r="F6" s="1" t="s">
        <v>1</v>
      </c>
      <c r="G6" s="1">
        <v>68.290000000000006</v>
      </c>
    </row>
    <row r="7" spans="1:7" ht="20" customHeight="1" x14ac:dyDescent="0.2">
      <c r="A7" s="1">
        <f t="shared" si="0"/>
        <v>6</v>
      </c>
      <c r="B7" s="1" t="s">
        <v>7</v>
      </c>
      <c r="C7" s="1" t="s">
        <v>87</v>
      </c>
      <c r="D7" s="2" t="d">
        <v>2022-12-30</v>
      </c>
      <c r="E7" s="2" t="d">
        <v>2023-06-30</v>
      </c>
      <c r="F7" s="1" t="s">
        <v>1</v>
      </c>
      <c r="G7" s="1">
        <v>-35.880000000000003</v>
      </c>
    </row>
    <row r="8" spans="1:7" ht="20" customHeight="1" x14ac:dyDescent="0.2">
      <c r="A8" s="1">
        <f t="shared" si="0"/>
        <v>7</v>
      </c>
      <c r="B8" s="1" t="s">
        <v>8</v>
      </c>
      <c r="C8" s="1" t="s">
        <v>88</v>
      </c>
      <c r="D8" s="2" t="d">
        <v>2023-01-14</v>
      </c>
      <c r="E8" s="2" t="d">
        <v>2023-07-14</v>
      </c>
      <c r="F8" s="1" t="s">
        <v>1</v>
      </c>
      <c r="G8" s="1">
        <v>18.98</v>
      </c>
    </row>
    <row r="9" spans="1:7" ht="20" customHeight="1" x14ac:dyDescent="0.2">
      <c r="A9" s="1">
        <f t="shared" si="0"/>
        <v>8</v>
      </c>
      <c r="B9" s="1" t="s">
        <v>9</v>
      </c>
      <c r="C9" s="1" t="s">
        <v>89</v>
      </c>
      <c r="D9" s="2" t="d">
        <v>2023-03-15</v>
      </c>
      <c r="E9" s="2" t="d">
        <v>2023-09-15</v>
      </c>
      <c r="F9" s="1" t="s">
        <v>1</v>
      </c>
      <c r="G9" s="1">
        <v>-16.32</v>
      </c>
    </row>
    <row r="10" spans="1:7" ht="20" customHeight="1" x14ac:dyDescent="0.2">
      <c r="A10" s="1">
        <f t="shared" si="0"/>
        <v>9</v>
      </c>
      <c r="B10" s="1" t="s">
        <v>10</v>
      </c>
      <c r="C10" s="1" t="s">
        <v>90</v>
      </c>
      <c r="D10" s="2" t="d">
        <v>2023-03-17</v>
      </c>
      <c r="E10" s="2" t="d">
        <v>2023-09-17</v>
      </c>
      <c r="F10" s="1" t="s">
        <v>1</v>
      </c>
      <c r="G10" s="1">
        <v>73.64</v>
      </c>
    </row>
    <row r="11" spans="1:7" ht="20" customHeight="1" x14ac:dyDescent="0.2">
      <c r="A11" s="1">
        <f t="shared" si="0"/>
        <v>10</v>
      </c>
      <c r="B11" s="1" t="s">
        <v>11</v>
      </c>
      <c r="C11" s="1" t="s">
        <v>91</v>
      </c>
      <c r="D11" s="2" t="d">
        <v>2023-04-01</v>
      </c>
      <c r="E11" s="2" t="d">
        <v>2023-10-01</v>
      </c>
      <c r="F11" s="1" t="s">
        <v>1</v>
      </c>
      <c r="G11" s="1">
        <v>-33.33</v>
      </c>
    </row>
    <row r="12" spans="1:7" ht="20" customHeight="1" x14ac:dyDescent="0.2">
      <c r="A12" s="1">
        <f t="shared" si="0"/>
        <v>11</v>
      </c>
      <c r="B12" s="1" t="s">
        <v>12</v>
      </c>
      <c r="C12" s="1" t="s">
        <v>92</v>
      </c>
      <c r="D12" s="2" t="d">
        <v>2023-04-02</v>
      </c>
      <c r="E12" s="2" t="d">
        <v>2023-10-02</v>
      </c>
      <c r="F12" s="1" t="s">
        <v>1</v>
      </c>
      <c r="G12" s="1">
        <v>-12.67</v>
      </c>
    </row>
    <row r="13" spans="1:7" ht="20" customHeight="1" x14ac:dyDescent="0.2">
      <c r="A13" s="1">
        <f t="shared" si="0"/>
        <v>12</v>
      </c>
      <c r="B13" s="1" t="s">
        <v>13</v>
      </c>
      <c r="C13" s="1" t="s">
        <v>93</v>
      </c>
      <c r="D13" s="2" t="d">
        <v>2023-04-02</v>
      </c>
      <c r="E13" s="2" t="d">
        <v>2023-10-02</v>
      </c>
      <c r="F13" s="1" t="s">
        <v>1</v>
      </c>
      <c r="G13" s="1">
        <v>287.56</v>
      </c>
    </row>
    <row r="14" spans="1:7" ht="20" customHeight="1" x14ac:dyDescent="0.2">
      <c r="A14" s="1">
        <f t="shared" si="0"/>
        <v>13</v>
      </c>
      <c r="B14" s="1" t="s">
        <v>14</v>
      </c>
      <c r="C14" s="1" t="s">
        <v>94</v>
      </c>
      <c r="D14" s="2" t="d">
        <v>2023-04-06</v>
      </c>
      <c r="E14" s="2" t="d">
        <v>2023-10-06</v>
      </c>
      <c r="F14" s="1" t="s">
        <v>1</v>
      </c>
      <c r="G14" s="1">
        <v>-5.95</v>
      </c>
    </row>
    <row r="15" spans="1:7" ht="20" customHeight="1" x14ac:dyDescent="0.2">
      <c r="A15" s="1">
        <f t="shared" si="0"/>
        <v>14</v>
      </c>
      <c r="B15" s="1" t="s">
        <v>15</v>
      </c>
      <c r="C15" s="1" t="s">
        <v>95</v>
      </c>
      <c r="D15" s="2" t="d">
        <v>2023-04-20</v>
      </c>
      <c r="E15" s="2" t="d">
        <v>2023-10-20</v>
      </c>
      <c r="F15" s="1" t="s">
        <v>1</v>
      </c>
      <c r="G15" s="1">
        <v>-23</v>
      </c>
    </row>
    <row r="16" spans="1:7" ht="20" customHeight="1" x14ac:dyDescent="0.2">
      <c r="A16" s="1">
        <f t="shared" si="0"/>
        <v>15</v>
      </c>
      <c r="B16" s="1" t="s">
        <v>16</v>
      </c>
      <c r="C16" s="1" t="s">
        <v>96</v>
      </c>
      <c r="D16" s="2" t="d">
        <v>2023-04-23</v>
      </c>
      <c r="E16" s="2" t="d">
        <v>2023-10-23</v>
      </c>
      <c r="F16" s="1" t="s">
        <v>1</v>
      </c>
      <c r="G16" s="1">
        <v>-19.690000000000001</v>
      </c>
    </row>
    <row r="17" spans="1:7" ht="20" customHeight="1" x14ac:dyDescent="0.2">
      <c r="A17" s="1">
        <f t="shared" si="0"/>
        <v>16</v>
      </c>
      <c r="B17" s="1" t="s">
        <v>17</v>
      </c>
      <c r="C17" s="1" t="s">
        <v>97</v>
      </c>
      <c r="D17" s="2" t="d">
        <v>2023-04-23</v>
      </c>
      <c r="E17" s="2" t="d">
        <v>2023-10-23</v>
      </c>
      <c r="F17" s="1" t="s">
        <v>1</v>
      </c>
      <c r="G17" s="1">
        <v>-14.82</v>
      </c>
    </row>
    <row r="18" spans="1:7" ht="20" customHeight="1" x14ac:dyDescent="0.2">
      <c r="A18" s="1">
        <f t="shared" si="0"/>
        <v>17</v>
      </c>
      <c r="B18" s="1" t="s">
        <v>18</v>
      </c>
      <c r="C18" s="1" t="s">
        <v>98</v>
      </c>
      <c r="D18" s="2" t="d">
        <v>2023-05-12</v>
      </c>
      <c r="E18" s="2" t="d">
        <v>2023-11-12</v>
      </c>
      <c r="F18" s="1" t="s">
        <v>1</v>
      </c>
      <c r="G18" s="1">
        <v>147.56</v>
      </c>
    </row>
    <row r="19" spans="1:7" ht="20" customHeight="1" x14ac:dyDescent="0.2">
      <c r="A19" s="1">
        <f t="shared" si="0"/>
        <v>18</v>
      </c>
      <c r="B19" s="1" t="s">
        <v>19</v>
      </c>
      <c r="C19" s="1" t="s">
        <v>99</v>
      </c>
      <c r="D19" s="2" t="d">
        <v>2023-05-17</v>
      </c>
      <c r="E19" s="2" t="d">
        <v>2023-11-17</v>
      </c>
      <c r="F19" s="1" t="s">
        <v>1</v>
      </c>
      <c r="G19" s="1">
        <v>-11.13</v>
      </c>
    </row>
    <row r="20" spans="1:7" ht="20" customHeight="1" x14ac:dyDescent="0.2">
      <c r="A20" s="1">
        <f t="shared" si="0"/>
        <v>19</v>
      </c>
      <c r="B20" s="1" t="s">
        <v>20</v>
      </c>
      <c r="C20" s="1" t="s">
        <v>100</v>
      </c>
      <c r="D20" s="2" t="d">
        <v>2023-05-26</v>
      </c>
      <c r="E20" s="2" t="d">
        <v>2023-11-26</v>
      </c>
      <c r="F20" s="1" t="s">
        <v>1</v>
      </c>
      <c r="G20" s="1">
        <v>-15.19</v>
      </c>
    </row>
    <row r="21" spans="1:7" ht="20" customHeight="1" x14ac:dyDescent="0.2">
      <c r="A21" s="1">
        <f t="shared" si="0"/>
        <v>20</v>
      </c>
      <c r="B21" s="1" t="s">
        <v>21</v>
      </c>
      <c r="C21" s="1" t="s">
        <v>101</v>
      </c>
      <c r="D21" s="2" t="d">
        <v>2023-06-18</v>
      </c>
      <c r="E21" s="2" t="d">
        <v>2023-12-18</v>
      </c>
      <c r="F21" s="1" t="s">
        <v>1</v>
      </c>
      <c r="G21" s="1">
        <v>-2.11</v>
      </c>
    </row>
    <row r="22" spans="1:7" ht="20" customHeight="1" x14ac:dyDescent="0.2">
      <c r="A22" s="1">
        <f t="shared" si="0"/>
        <v>21</v>
      </c>
      <c r="B22" s="1" t="s">
        <v>22</v>
      </c>
      <c r="C22" s="1" t="s">
        <v>102</v>
      </c>
      <c r="D22" s="2" t="d">
        <v>2023-06-18</v>
      </c>
      <c r="E22" s="2" t="d">
        <v>2023-12-18</v>
      </c>
      <c r="F22" s="1" t="s">
        <v>1</v>
      </c>
      <c r="G22" s="1">
        <v>6.08</v>
      </c>
    </row>
    <row r="23" spans="1:7" ht="20" customHeight="1" x14ac:dyDescent="0.2">
      <c r="A23" s="1">
        <f t="shared" si="0"/>
        <v>22</v>
      </c>
      <c r="B23" s="1" t="s">
        <v>23</v>
      </c>
      <c r="C23" s="1" t="s">
        <v>103</v>
      </c>
      <c r="D23" s="2" t="d">
        <v>2023-06-21</v>
      </c>
      <c r="E23" s="2" t="d">
        <v>2023-12-21</v>
      </c>
      <c r="F23" s="1" t="s">
        <v>1</v>
      </c>
      <c r="G23" s="1">
        <v>162.82</v>
      </c>
    </row>
    <row r="24" spans="1:7" ht="20" customHeight="1" x14ac:dyDescent="0.2">
      <c r="A24" s="1">
        <f t="shared" si="0"/>
        <v>23</v>
      </c>
      <c r="B24" s="1" t="s">
        <v>24</v>
      </c>
      <c r="C24" s="1" t="s">
        <v>104</v>
      </c>
      <c r="D24" s="2" t="d">
        <v>2023-06-28</v>
      </c>
      <c r="E24" s="2" t="d">
        <v>2023-12-28</v>
      </c>
      <c r="F24" s="1" t="s">
        <v>1</v>
      </c>
      <c r="G24" s="1">
        <v>27.49</v>
      </c>
    </row>
    <row r="25" spans="1:7" ht="20" customHeight="1" x14ac:dyDescent="0.2">
      <c r="A25" s="1">
        <f t="shared" si="0"/>
        <v>24</v>
      </c>
      <c r="B25" s="1" t="s">
        <v>25</v>
      </c>
      <c r="C25" s="1" t="s">
        <v>105</v>
      </c>
      <c r="D25" s="2" t="d">
        <v>2023-06-30</v>
      </c>
      <c r="E25" s="2" t="d">
        <v>2023-12-30</v>
      </c>
      <c r="F25" s="1" t="s">
        <v>1</v>
      </c>
      <c r="G25" s="1">
        <v>9.61</v>
      </c>
    </row>
    <row r="26" spans="1:7" ht="20" customHeight="1" x14ac:dyDescent="0.2">
      <c r="A26" s="1">
        <f t="shared" si="0"/>
        <v>25</v>
      </c>
      <c r="B26" s="1" t="s">
        <v>26</v>
      </c>
      <c r="C26" s="1" t="s">
        <v>106</v>
      </c>
      <c r="D26" s="2" t="d">
        <v>2023-07-15</v>
      </c>
      <c r="E26" s="2" t="d">
        <v>2024-01-15</v>
      </c>
      <c r="F26" s="1" t="s">
        <v>1</v>
      </c>
      <c r="G26" s="1">
        <v>15.18</v>
      </c>
    </row>
    <row r="27" spans="1:7" ht="20" customHeight="1" x14ac:dyDescent="0.2">
      <c r="A27" s="1">
        <f t="shared" si="0"/>
        <v>26</v>
      </c>
      <c r="B27" s="1" t="s">
        <v>27</v>
      </c>
      <c r="C27" s="1" t="s">
        <v>107</v>
      </c>
      <c r="D27" s="2" t="d">
        <v>2023-07-15</v>
      </c>
      <c r="E27" s="2" t="d">
        <v>2024-01-15</v>
      </c>
      <c r="F27" s="1" t="s">
        <v>1</v>
      </c>
      <c r="G27" s="1">
        <v>39.299999999999997</v>
      </c>
    </row>
    <row r="28" spans="1:7" ht="20" customHeight="1" x14ac:dyDescent="0.2">
      <c r="A28" s="1">
        <f t="shared" si="0"/>
        <v>27</v>
      </c>
      <c r="B28" s="1" t="s">
        <v>28</v>
      </c>
      <c r="C28" s="1" t="s">
        <v>108</v>
      </c>
      <c r="D28" s="2" t="d">
        <v>2023-08-16</v>
      </c>
      <c r="E28" s="2" t="d">
        <v>2024-02-16</v>
      </c>
      <c r="F28" s="1" t="s">
        <v>1</v>
      </c>
      <c r="G28" s="1">
        <v>-6.05</v>
      </c>
    </row>
    <row r="29" spans="1:7" ht="20" customHeight="1" x14ac:dyDescent="0.2">
      <c r="A29" s="1">
        <f t="shared" si="0"/>
        <v>28</v>
      </c>
      <c r="B29" s="1" t="s">
        <v>29</v>
      </c>
      <c r="C29" s="1" t="s">
        <v>109</v>
      </c>
      <c r="D29" s="2" t="d">
        <v>2023-08-16</v>
      </c>
      <c r="E29" s="2" t="d">
        <v>2024-02-16</v>
      </c>
      <c r="F29" s="1" t="s">
        <v>1</v>
      </c>
      <c r="G29" s="1">
        <v>32.909999999999997</v>
      </c>
    </row>
    <row r="30" spans="1:7" ht="20" customHeight="1" x14ac:dyDescent="0.2">
      <c r="A30" s="1">
        <f t="shared" si="0"/>
        <v>29</v>
      </c>
      <c r="B30" s="1" t="s">
        <v>30</v>
      </c>
      <c r="C30" s="1" t="s">
        <v>110</v>
      </c>
      <c r="D30" s="2" t="d">
        <v>2023-08-23</v>
      </c>
      <c r="E30" s="2" t="d">
        <v>2024-02-23</v>
      </c>
      <c r="F30" s="1" t="s">
        <v>1</v>
      </c>
      <c r="G30" s="1">
        <v>3.73</v>
      </c>
    </row>
    <row r="31" spans="1:7" ht="20" customHeight="1" x14ac:dyDescent="0.2">
      <c r="A31" s="1">
        <f t="shared" si="0"/>
        <v>30</v>
      </c>
      <c r="B31" s="1" t="s">
        <v>31</v>
      </c>
      <c r="C31" s="1" t="s">
        <v>111</v>
      </c>
      <c r="D31" s="2" t="d">
        <v>2023-08-23</v>
      </c>
      <c r="E31" s="2" t="d">
        <v>2024-02-23</v>
      </c>
      <c r="F31" s="1" t="s">
        <v>1</v>
      </c>
      <c r="G31" s="1">
        <v>99.25</v>
      </c>
    </row>
    <row r="32" spans="1:7" ht="20" customHeight="1" x14ac:dyDescent="0.2">
      <c r="A32" s="1">
        <f t="shared" si="0"/>
        <v>31</v>
      </c>
      <c r="B32" s="1" t="s">
        <v>32</v>
      </c>
      <c r="C32" s="1" t="s">
        <v>112</v>
      </c>
      <c r="D32" s="2" t="d">
        <v>2023-08-23</v>
      </c>
      <c r="E32" s="2" t="d">
        <v>2024-02-23</v>
      </c>
      <c r="F32" s="1" t="s">
        <v>1</v>
      </c>
      <c r="G32" s="1">
        <v>50.24</v>
      </c>
    </row>
    <row r="33" spans="1:7" ht="20" customHeight="1" x14ac:dyDescent="0.2">
      <c r="A33" s="1">
        <f t="shared" si="0"/>
        <v>32</v>
      </c>
      <c r="B33" s="1" t="s">
        <v>33</v>
      </c>
      <c r="C33" s="1" t="s">
        <v>113</v>
      </c>
      <c r="D33" s="2" t="d">
        <v>2023-08-31</v>
      </c>
      <c r="E33" s="2" t="d">
        <v>2024-02-29</v>
      </c>
      <c r="F33" s="1" t="s">
        <v>1</v>
      </c>
      <c r="G33" s="1">
        <v>15.22</v>
      </c>
    </row>
    <row r="34" spans="1:7" ht="20" customHeight="1" x14ac:dyDescent="0.2">
      <c r="A34" s="1">
        <f t="shared" si="0"/>
        <v>33</v>
      </c>
      <c r="B34" s="1" t="s">
        <v>34</v>
      </c>
      <c r="C34" s="1" t="s">
        <v>114</v>
      </c>
      <c r="D34" s="2" t="d">
        <v>2023-09-27</v>
      </c>
      <c r="E34" s="2" t="d">
        <v>2024-03-27</v>
      </c>
      <c r="F34" s="1" t="s">
        <v>1</v>
      </c>
      <c r="G34" s="1">
        <v>6.25</v>
      </c>
    </row>
    <row r="35" spans="1:7" ht="20" customHeight="1" x14ac:dyDescent="0.2">
      <c r="A35" s="1">
        <f t="shared" si="0"/>
        <v>34</v>
      </c>
      <c r="B35" s="1" t="s">
        <v>35</v>
      </c>
      <c r="C35" s="1" t="s">
        <v>115</v>
      </c>
      <c r="D35" s="2" t="d">
        <v>2023-10-01</v>
      </c>
      <c r="E35" s="2" t="d">
        <v>2024-04-01</v>
      </c>
      <c r="F35" s="1" t="s">
        <v>1</v>
      </c>
      <c r="G35" s="1">
        <v>28.18</v>
      </c>
    </row>
    <row r="36" spans="1:7" ht="20" customHeight="1" x14ac:dyDescent="0.2">
      <c r="A36" s="1">
        <f t="shared" si="0"/>
        <v>35</v>
      </c>
      <c r="B36" s="1" t="s">
        <v>36</v>
      </c>
      <c r="C36" s="1" t="s">
        <v>116</v>
      </c>
      <c r="D36" s="2" t="d">
        <v>2023-10-05</v>
      </c>
      <c r="E36" s="2" t="d">
        <v>2024-04-05</v>
      </c>
      <c r="F36" s="1" t="s">
        <v>1</v>
      </c>
      <c r="G36" s="1">
        <v>31.39</v>
      </c>
    </row>
    <row r="37" spans="1:7" ht="20" customHeight="1" x14ac:dyDescent="0.2">
      <c r="A37" s="1">
        <f t="shared" si="0"/>
        <v>36</v>
      </c>
      <c r="B37" s="1" t="s">
        <v>37</v>
      </c>
      <c r="C37" s="1" t="s">
        <v>117</v>
      </c>
      <c r="D37" s="2" t="d">
        <v>2023-10-05</v>
      </c>
      <c r="E37" s="2" t="d">
        <v>2024-04-05</v>
      </c>
      <c r="F37" s="1" t="s">
        <v>1</v>
      </c>
      <c r="G37" s="1">
        <v>32.56</v>
      </c>
    </row>
    <row r="38" spans="1:7" ht="20" customHeight="1" x14ac:dyDescent="0.2">
      <c r="A38" s="1">
        <f t="shared" si="0"/>
        <v>37</v>
      </c>
      <c r="B38" s="1" t="s">
        <v>38</v>
      </c>
      <c r="C38" s="1" t="s">
        <v>118</v>
      </c>
      <c r="D38" s="2" t="d">
        <v>2023-10-11</v>
      </c>
      <c r="E38" s="2" t="d">
        <v>2024-04-11</v>
      </c>
      <c r="F38" s="1" t="s">
        <v>1</v>
      </c>
      <c r="G38" s="1">
        <v>13.67</v>
      </c>
    </row>
    <row r="39" spans="1:7" ht="20" customHeight="1" x14ac:dyDescent="0.2">
      <c r="A39" s="1">
        <f t="shared" si="0"/>
        <v>38</v>
      </c>
      <c r="B39" s="1" t="s">
        <v>39</v>
      </c>
      <c r="C39" s="1" t="s">
        <v>119</v>
      </c>
      <c r="D39" s="2" t="d">
        <v>2023-10-21</v>
      </c>
      <c r="E39" s="2" t="d">
        <v>2024-04-21</v>
      </c>
      <c r="F39" s="1" t="s">
        <v>1</v>
      </c>
      <c r="G39" s="1">
        <v>75.430000000000007</v>
      </c>
    </row>
    <row r="40" spans="1:7" ht="20" customHeight="1" x14ac:dyDescent="0.2">
      <c r="A40" s="1">
        <f t="shared" si="0"/>
        <v>39</v>
      </c>
      <c r="B40" s="1" t="s">
        <v>40</v>
      </c>
      <c r="C40" s="1" t="s">
        <v>120</v>
      </c>
      <c r="D40" s="2" t="d">
        <v>2023-10-21</v>
      </c>
      <c r="E40" s="2" t="d">
        <v>2024-04-21</v>
      </c>
      <c r="F40" s="1" t="s">
        <v>1</v>
      </c>
      <c r="G40" s="1">
        <v>211.15</v>
      </c>
    </row>
    <row r="41" spans="1:7" ht="20" customHeight="1" x14ac:dyDescent="0.2">
      <c r="A41" s="1">
        <f t="shared" si="0"/>
        <v>40</v>
      </c>
      <c r="B41" s="1" t="s">
        <v>41</v>
      </c>
      <c r="C41" s="1" t="s">
        <v>121</v>
      </c>
      <c r="D41" s="2" t="d">
        <v>2023-10-22</v>
      </c>
      <c r="E41" s="2" t="d">
        <v>2024-04-22</v>
      </c>
      <c r="F41" s="1" t="s">
        <v>1</v>
      </c>
      <c r="G41" s="1">
        <v>62.27</v>
      </c>
    </row>
    <row r="42" spans="1:7" ht="20" customHeight="1" x14ac:dyDescent="0.2">
      <c r="A42" s="1">
        <f t="shared" si="0"/>
        <v>41</v>
      </c>
      <c r="B42" s="1" t="s">
        <v>42</v>
      </c>
      <c r="C42" s="1" t="s">
        <v>122</v>
      </c>
      <c r="D42" s="2" t="d">
        <v>2023-10-22</v>
      </c>
      <c r="E42" s="2" t="d">
        <v>2024-04-22</v>
      </c>
      <c r="F42" s="1" t="s">
        <v>1</v>
      </c>
      <c r="G42" s="1">
        <v>101.52</v>
      </c>
    </row>
    <row r="43" spans="1:7" ht="20" customHeight="1" x14ac:dyDescent="0.2">
      <c r="A43" s="1">
        <f t="shared" si="0"/>
        <v>42</v>
      </c>
      <c r="B43" s="1" t="s">
        <v>43</v>
      </c>
      <c r="C43" s="1" t="s">
        <v>123</v>
      </c>
      <c r="D43" s="2" t="d">
        <v>2023-11-08</v>
      </c>
      <c r="E43" s="2" t="d">
        <v>2024-05-08</v>
      </c>
      <c r="F43" s="1" t="s">
        <v>1</v>
      </c>
      <c r="G43" s="1">
        <v>57.88</v>
      </c>
    </row>
    <row r="44" spans="1:7" ht="20" customHeight="1" x14ac:dyDescent="0.2">
      <c r="A44" s="1">
        <f t="shared" si="0"/>
        <v>43</v>
      </c>
      <c r="B44" s="1" t="s">
        <v>44</v>
      </c>
      <c r="C44" s="1" t="s">
        <v>124</v>
      </c>
      <c r="D44" s="2" t="d">
        <v>2023-11-30</v>
      </c>
      <c r="E44" s="2" t="d">
        <v>2024-05-30</v>
      </c>
      <c r="F44" s="1" t="s">
        <v>1</v>
      </c>
      <c r="G44" s="1">
        <v>53.01</v>
      </c>
    </row>
    <row r="45" spans="1:7" ht="20" customHeight="1" x14ac:dyDescent="0.2">
      <c r="A45" s="1">
        <f t="shared" si="0"/>
        <v>44</v>
      </c>
      <c r="B45" s="1" t="s">
        <v>45</v>
      </c>
      <c r="C45" s="1" t="s">
        <v>125</v>
      </c>
      <c r="D45" s="2" t="d">
        <v>2023-12-17</v>
      </c>
      <c r="E45" s="2" t="d">
        <v>2024-06-17</v>
      </c>
      <c r="F45" s="1" t="s">
        <v>1</v>
      </c>
      <c r="G45" s="1">
        <v>34.67</v>
      </c>
    </row>
    <row r="46" spans="1:7" ht="20" customHeight="1" x14ac:dyDescent="0.2">
      <c r="A46" s="1">
        <f t="shared" si="0"/>
        <v>45</v>
      </c>
      <c r="B46" s="1" t="s">
        <v>46</v>
      </c>
      <c r="C46" s="1" t="s">
        <v>126</v>
      </c>
      <c r="D46" s="2" t="d">
        <v>2023-12-24</v>
      </c>
      <c r="E46" s="2" t="d">
        <v>2024-06-24</v>
      </c>
      <c r="F46" s="1" t="s">
        <v>1</v>
      </c>
      <c r="G46" s="1">
        <v>220.21</v>
      </c>
    </row>
    <row r="47" spans="1:7" ht="20" customHeight="1" x14ac:dyDescent="0.2">
      <c r="A47" s="1">
        <f t="shared" si="0"/>
        <v>46</v>
      </c>
      <c r="B47" s="1" t="s">
        <v>47</v>
      </c>
      <c r="C47" s="1" t="s">
        <v>127</v>
      </c>
      <c r="D47" s="2" t="d">
        <v>2023-12-31</v>
      </c>
      <c r="E47" s="2" t="d">
        <v>2024-06-30</v>
      </c>
      <c r="F47" s="1" t="s">
        <v>1</v>
      </c>
      <c r="G47" s="1">
        <v>24.82</v>
      </c>
    </row>
    <row r="48" spans="1:7" ht="20" customHeight="1" x14ac:dyDescent="0.2">
      <c r="A48" s="1">
        <f t="shared" si="0"/>
        <v>47</v>
      </c>
      <c r="B48" s="1" t="s">
        <v>48</v>
      </c>
      <c r="C48" s="1" t="s">
        <v>128</v>
      </c>
      <c r="D48" s="2" t="d">
        <v>2023-12-31</v>
      </c>
      <c r="E48" s="2" t="d">
        <v>2024-06-30</v>
      </c>
      <c r="F48" s="1" t="s">
        <v>1</v>
      </c>
      <c r="G48" s="1">
        <v>164.66</v>
      </c>
    </row>
    <row r="49" spans="1:7" ht="20" customHeight="1" x14ac:dyDescent="0.2">
      <c r="A49" s="1">
        <f t="shared" si="0"/>
        <v>48</v>
      </c>
      <c r="B49" s="1" t="s">
        <v>49</v>
      </c>
      <c r="C49" s="1" t="s">
        <v>129</v>
      </c>
      <c r="D49" s="2" t="d">
        <v>2023-12-31</v>
      </c>
      <c r="E49" s="2" t="d">
        <v>2024-06-30</v>
      </c>
      <c r="F49" s="1" t="s">
        <v>1</v>
      </c>
      <c r="G49" s="1">
        <v>-7.12</v>
      </c>
    </row>
    <row r="50" spans="1:7" ht="20" customHeight="1" x14ac:dyDescent="0.2">
      <c r="A50" s="1">
        <f t="shared" si="0"/>
        <v>49</v>
      </c>
      <c r="B50" s="1" t="s">
        <v>50</v>
      </c>
      <c r="C50" s="1" t="s">
        <v>130</v>
      </c>
      <c r="D50" s="2" t="d">
        <v>2024-01-18</v>
      </c>
      <c r="E50" s="2" t="d">
        <v>2024-07-18</v>
      </c>
      <c r="F50" s="1" t="s">
        <v>1</v>
      </c>
      <c r="G50" s="1">
        <v>-2.82</v>
      </c>
    </row>
    <row r="51" spans="1:7" ht="20" customHeight="1" x14ac:dyDescent="0.2">
      <c r="A51" s="1">
        <f t="shared" si="0"/>
        <v>50</v>
      </c>
      <c r="B51" s="1" t="s">
        <v>51</v>
      </c>
      <c r="C51" s="1" t="s">
        <v>131</v>
      </c>
      <c r="D51" s="2" t="d">
        <v>2024-03-29</v>
      </c>
      <c r="E51" s="2" t="d">
        <v>2024-09-29</v>
      </c>
      <c r="F51" s="1" t="s">
        <v>1</v>
      </c>
      <c r="G51" s="1">
        <v>-23.65</v>
      </c>
    </row>
    <row r="52" spans="1:7" ht="20" customHeight="1" x14ac:dyDescent="0.2">
      <c r="A52" s="1">
        <f t="shared" si="0"/>
        <v>51</v>
      </c>
      <c r="B52" s="1" t="s">
        <v>52</v>
      </c>
      <c r="C52" s="1" t="s">
        <v>132</v>
      </c>
      <c r="D52" s="2" t="d">
        <v>2025-02-19</v>
      </c>
      <c r="E52" s="2" t="d">
        <v>2025-08-19</v>
      </c>
      <c r="F52" s="1" t="s">
        <v>1</v>
      </c>
      <c r="G52" s="1">
        <v>180.3</v>
      </c>
    </row>
    <row r="53" spans="1:7" ht="20" customHeight="1" x14ac:dyDescent="0.2">
      <c r="A53" s="1">
        <f t="shared" si="0"/>
        <v>52</v>
      </c>
      <c r="B53" s="1" t="s">
        <v>53</v>
      </c>
      <c r="C53" s="1" t="s">
        <v>133</v>
      </c>
      <c r="D53" s="2" t="d">
        <v>2025-04-18</v>
      </c>
      <c r="E53" s="2" t="d">
        <v>2025-10-18</v>
      </c>
      <c r="F53" s="1" t="s">
        <v>1</v>
      </c>
      <c r="G53" s="1">
        <v>112.49</v>
      </c>
    </row>
    <row r="54" spans="1:7" ht="20" customHeight="1" x14ac:dyDescent="0.2">
      <c r="A54" s="1">
        <f t="shared" si="0"/>
        <v>53</v>
      </c>
      <c r="B54" s="1" t="s">
        <v>54</v>
      </c>
      <c r="C54" s="1" t="s">
        <v>134</v>
      </c>
      <c r="D54" s="2" t="d">
        <v>2025-04-20</v>
      </c>
      <c r="E54" s="2" t="d">
        <v>2025-10-20</v>
      </c>
      <c r="F54" s="1" t="s">
        <v>1</v>
      </c>
      <c r="G54" s="1">
        <v>126</v>
      </c>
    </row>
    <row r="55" spans="1:7" ht="20" customHeight="1" x14ac:dyDescent="0.2">
      <c r="A55" s="1">
        <f t="shared" si="0"/>
        <v>54</v>
      </c>
      <c r="B55" s="1" t="s">
        <v>55</v>
      </c>
      <c r="C55" s="1" t="s">
        <v>135</v>
      </c>
      <c r="D55" s="2" t="d">
        <v>2025-05-14</v>
      </c>
      <c r="E55" s="2" t="d">
        <v>2025-11-14</v>
      </c>
      <c r="F55" s="1" t="s">
        <v>1</v>
      </c>
      <c r="G55" s="1">
        <v>98.13</v>
      </c>
    </row>
    <row r="56" spans="1:7" ht="20" customHeight="1" x14ac:dyDescent="0.2">
      <c r="A56" s="1">
        <f t="shared" si="0"/>
        <v>55</v>
      </c>
      <c r="B56" s="1" t="s">
        <v>56</v>
      </c>
      <c r="C56" s="1" t="s">
        <v>136</v>
      </c>
      <c r="D56" s="2" t="d">
        <v>2025-06-06</v>
      </c>
      <c r="E56" s="2" t="d">
        <v>2025-12-06</v>
      </c>
      <c r="F56" s="1" t="s">
        <v>1</v>
      </c>
      <c r="G56" s="1">
        <v>63.98</v>
      </c>
    </row>
    <row r="57" spans="1:7" ht="20" customHeight="1" x14ac:dyDescent="0.2">
      <c r="A57" s="1">
        <f t="shared" si="0"/>
        <v>56</v>
      </c>
      <c r="B57" s="1" t="s">
        <v>57</v>
      </c>
      <c r="C57" s="1" t="s">
        <v>137</v>
      </c>
      <c r="D57" s="2" t="d">
        <v>2025-07-27</v>
      </c>
      <c r="E57" s="2" t="d">
        <v>2026-01-27</v>
      </c>
      <c r="F57" s="1" t="s">
        <v>1</v>
      </c>
      <c r="G57" s="1">
        <v>45.32</v>
      </c>
    </row>
    <row r="58" spans="1:7" ht="20" customHeight="1" x14ac:dyDescent="0.2">
      <c r="A58" s="1">
        <f t="shared" si="0"/>
        <v>57</v>
      </c>
      <c r="B58" s="1" t="s">
        <v>58</v>
      </c>
      <c r="C58" s="1" t="s">
        <v>138</v>
      </c>
      <c r="D58" s="2" t="d">
        <v>2025-07-30</v>
      </c>
      <c r="E58" s="2" t="d">
        <v>2026-01-30</v>
      </c>
      <c r="F58" s="1" t="s">
        <v>1</v>
      </c>
      <c r="G58" s="1">
        <v>8.17</v>
      </c>
    </row>
    <row r="59" spans="1:7" ht="20" customHeight="1" x14ac:dyDescent="0.2">
      <c r="A59" s="1">
        <f t="shared" si="0"/>
        <v>58</v>
      </c>
      <c r="B59" s="1" t="s">
        <v>59</v>
      </c>
      <c r="C59" s="1" t="s">
        <v>139</v>
      </c>
      <c r="D59" s="2" t="d">
        <v>2025-08-30</v>
      </c>
      <c r="E59" s="2" t="d">
        <v>2026-02-28</v>
      </c>
      <c r="F59" s="1" t="s">
        <v>1</v>
      </c>
      <c r="G59" s="1">
        <v>7.14</v>
      </c>
    </row>
    <row r="60" spans="1:7" ht="20" customHeight="1" x14ac:dyDescent="0.2">
      <c r="A60" s="1">
        <f t="shared" si="0"/>
        <v>59</v>
      </c>
      <c r="B60" s="1" t="s">
        <v>60</v>
      </c>
      <c r="C60" s="1" t="s">
        <v>140</v>
      </c>
      <c r="D60" s="2" t="d">
        <v>2025-09-11</v>
      </c>
      <c r="E60" s="2" t="d">
        <v>2026-03-11</v>
      </c>
      <c r="F60" s="1" t="s">
        <v>1</v>
      </c>
      <c r="G60" s="1">
        <v>114.15</v>
      </c>
    </row>
    <row r="61" spans="1:7" ht="20" customHeight="1" x14ac:dyDescent="0.2">
      <c r="A61" s="1">
        <f t="shared" si="0"/>
        <v>60</v>
      </c>
      <c r="B61" s="1" t="s">
        <v>61</v>
      </c>
      <c r="C61" s="1" t="s">
        <v>141</v>
      </c>
      <c r="D61" s="2" t="d">
        <v>2025-11-14</v>
      </c>
      <c r="E61" s="2" t="d">
        <v>2026-05-10</v>
      </c>
      <c r="F61" s="1" t="s">
        <v>1</v>
      </c>
      <c r="G61" s="1">
        <v>21.55</v>
      </c>
    </row>
    <row r="62" spans="1:7" ht="20" customHeight="1" x14ac:dyDescent="0.2">
      <c r="A62" s="1">
        <f t="shared" si="0"/>
        <v>61</v>
      </c>
      <c r="B62" s="1" t="s">
        <v>62</v>
      </c>
      <c r="C62" s="1" t="s">
        <v>142</v>
      </c>
      <c r="D62" s="2" t="d">
        <v>2025-11-16</v>
      </c>
      <c r="E62" s="2" t="d">
        <v>2026-05-10</v>
      </c>
      <c r="F62" s="1" t="s">
        <v>1</v>
      </c>
      <c r="G62" s="1">
        <v>14.31</v>
      </c>
    </row>
    <row r="63" spans="1:7" ht="20" customHeight="1" x14ac:dyDescent="0.2">
      <c r="A63" s="1">
        <f t="shared" si="0"/>
        <v>62</v>
      </c>
      <c r="B63" s="1" t="s">
        <v>63</v>
      </c>
      <c r="C63" s="1" t="s">
        <v>143</v>
      </c>
      <c r="D63" s="2" t="d">
        <v>2025-11-19</v>
      </c>
      <c r="E63" s="2" t="d">
        <v>2026-05-10</v>
      </c>
      <c r="F63" s="1" t="s">
        <v>1</v>
      </c>
      <c r="G63" s="1">
        <v>129.68</v>
      </c>
    </row>
    <row r="64" spans="1:7" ht="20" customHeight="1" x14ac:dyDescent="0.2">
      <c r="A64" s="1">
        <f t="shared" si="0"/>
        <v>63</v>
      </c>
      <c r="B64" s="1" t="s">
        <v>64</v>
      </c>
      <c r="C64" s="1" t="s">
        <v>144</v>
      </c>
      <c r="D64" s="2" t="d">
        <v>2025-11-20</v>
      </c>
      <c r="E64" s="2" t="d">
        <v>2026-05-10</v>
      </c>
      <c r="F64" s="1" t="s">
        <v>1</v>
      </c>
      <c r="G64" s="1">
        <v>-3.38</v>
      </c>
    </row>
    <row r="65" spans="1:7" ht="20" customHeight="1" x14ac:dyDescent="0.2">
      <c r="A65" s="1">
        <f t="shared" si="0"/>
        <v>64</v>
      </c>
      <c r="B65" s="1" t="s">
        <v>65</v>
      </c>
      <c r="C65" s="1" t="s">
        <v>145</v>
      </c>
      <c r="D65" s="2" t="d">
        <v>2025-11-21</v>
      </c>
      <c r="E65" s="2" t="d">
        <v>2026-05-10</v>
      </c>
      <c r="F65" s="1" t="s">
        <v>1</v>
      </c>
      <c r="G65" s="1">
        <v>23.9</v>
      </c>
    </row>
    <row r="66" spans="1:7" ht="20" customHeight="1" x14ac:dyDescent="0.2">
      <c r="A66" s="1">
        <f t="shared" si="0"/>
        <v>65</v>
      </c>
      <c r="B66" s="1" t="s">
        <v>66</v>
      </c>
      <c r="C66" s="1" t="s">
        <v>146</v>
      </c>
      <c r="D66" s="2" t="d">
        <v>2025-11-21</v>
      </c>
      <c r="E66" s="2" t="d">
        <v>2026-05-10</v>
      </c>
      <c r="F66" s="1" t="s">
        <v>1</v>
      </c>
      <c r="G66" s="1">
        <v>338.66</v>
      </c>
    </row>
    <row r="67" spans="1:7" ht="20" customHeight="1" x14ac:dyDescent="0.2">
      <c r="A67" s="1">
        <f t="shared" ref="A67:A71" si="1">ROW()-1</f>
        <v>66</v>
      </c>
      <c r="B67" s="1" t="s">
        <v>67</v>
      </c>
      <c r="C67" s="1" t="s">
        <v>147</v>
      </c>
      <c r="D67" s="2" t="d">
        <v>2025-11-26</v>
      </c>
      <c r="E67" s="2" t="d">
        <v>2026-05-10</v>
      </c>
      <c r="F67" s="1" t="s">
        <v>1</v>
      </c>
      <c r="G67" s="1">
        <v>175.94</v>
      </c>
    </row>
    <row r="68" spans="1:7" ht="20" customHeight="1" x14ac:dyDescent="0.2">
      <c r="A68" s="1">
        <f t="shared" si="1"/>
        <v>67</v>
      </c>
      <c r="B68" s="1" t="s">
        <v>68</v>
      </c>
      <c r="C68" s="1" t="s">
        <v>148</v>
      </c>
      <c r="D68" s="2" t="d">
        <v>2025-12-04</v>
      </c>
      <c r="E68" s="2" t="d">
        <v>2026-05-10</v>
      </c>
      <c r="F68" s="1" t="s">
        <v>1</v>
      </c>
      <c r="G68" s="1">
        <v>61.11</v>
      </c>
    </row>
    <row r="69" spans="1:7" ht="20" customHeight="1" x14ac:dyDescent="0.2">
      <c r="A69" s="1">
        <f t="shared" si="1"/>
        <v>68</v>
      </c>
      <c r="B69" s="1" t="s">
        <v>69</v>
      </c>
      <c r="C69" s="1" t="s">
        <v>149</v>
      </c>
      <c r="D69" s="2" t="d">
        <v>2025-12-20</v>
      </c>
      <c r="E69" s="2" t="d">
        <v>2026-05-10</v>
      </c>
      <c r="F69" s="1" t="s">
        <v>1</v>
      </c>
      <c r="G69" s="1">
        <v>113.93</v>
      </c>
    </row>
    <row r="70" spans="1:7" ht="20" customHeight="1" x14ac:dyDescent="0.2">
      <c r="A70" s="1">
        <f t="shared" si="1"/>
        <v>69</v>
      </c>
      <c r="B70" s="1" t="s">
        <v>70</v>
      </c>
      <c r="C70" s="1" t="s">
        <v>70</v>
      </c>
      <c r="D70" s="2" t="d">
        <v>2026-02-26</v>
      </c>
      <c r="E70" s="2" t="d">
        <v>2026-05-10</v>
      </c>
      <c r="F70" s="1" t="s">
        <v>1</v>
      </c>
      <c r="G70" s="1">
        <v>9.64</v>
      </c>
    </row>
    <row r="71" spans="1:7" ht="20" customHeight="1" x14ac:dyDescent="0.2">
      <c r="A71" s="1">
        <f t="shared" si="1"/>
        <v>70</v>
      </c>
      <c r="B71" s="1" t="s">
        <v>71</v>
      </c>
      <c r="C71" s="1" t="s">
        <v>150</v>
      </c>
      <c r="D71" s="2" t="d">
        <v>2026-02-26</v>
      </c>
      <c r="E71" s="2" t="d">
        <v>2026-05-10</v>
      </c>
      <c r="F71" s="3" t="s">
        <v>1</v>
      </c>
      <c r="G71" s="3">
        <v>111.29</v>
      </c>
    </row>
    <row r="72" spans="1:7" ht="20" customHeight="1" x14ac:dyDescent="0.2">
      <c r="F72" s="20" t="s">
        <v>151</v>
      </c>
      <c r="G72" s="21">
        <f>AVERAGE(G2:G71)</f>
        <v>54.17</v>
      </c>
    </row>
    <row r="73" spans="1:7" ht="20" customHeight="1" x14ac:dyDescent="0.2">
      <c r="F73" s="20" t="s">
        <v>152</v>
      </c>
      <c r="G73" s="21">
        <f>((1+G72/100)^(365/180)-1)*100</f>
        <v>140.55919594307434</v>
      </c>
    </row>
    <row r="74" spans="1:7" x14ac:dyDescent="0.2">
      <c r="F74" s="20" t="s">
        <v>166</v>
      </c>
      <c r="G74" s="21">
        <f>MEDIAN(G2:G71)</f>
        <v>27.835000000000001</v>
      </c>
    </row>
    <row r="76" spans="1:7" x14ac:dyDescent="0.2">
      <c r="E76" s="23" t="s">
        <v>168</v>
      </c>
      <c r="F76">
        <v>16</v>
      </c>
    </row>
  </sheetData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6"/>
  <sheetViews>
    <sheetView zoomScale="140" zoomScaleNormal="140" workbookViewId="0">
      <selection activeCell="K74" sqref="K74"/>
    </sheetView>
  </sheetViews>
  <sheetFormatPr baseColWidth="10" defaultRowHeight="16" x14ac:dyDescent="0.2"/>
  <cols>
    <col min="1" max="1" width="3.1640625" bestFit="1" customWidth="1"/>
    <col min="2" max="2" width="9.1640625" bestFit="1" customWidth="1"/>
    <col min="3" max="3" width="44" bestFit="1" customWidth="1"/>
    <col min="4" max="4" width="11.5" bestFit="1" customWidth="1"/>
    <col min="5" max="5" width="12" bestFit="1" customWidth="1"/>
    <col min="6" max="6" width="12.33203125" bestFit="1" customWidth="1"/>
    <col min="7" max="7" width="14.33203125" bestFit="1" customWidth="1"/>
  </cols>
  <sheetData>
    <row r="1" spans="1:7" ht="35" customHeight="1" x14ac:dyDescent="0.2">
      <c r="A1" s="4" t="s">
        <v>0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76</v>
      </c>
      <c r="G1" s="4" t="s">
        <v>81</v>
      </c>
    </row>
    <row r="2" spans="1:7" ht="20" customHeight="1" x14ac:dyDescent="0.2">
      <c r="A2" s="1">
        <f>ROW()-1</f>
        <v>1</v>
      </c>
      <c r="B2" s="1" t="s">
        <v>2</v>
      </c>
      <c r="C2" s="1" t="s">
        <v>82</v>
      </c>
      <c r="D2" s="2" t="d">
        <v>2022-10-26</v>
      </c>
      <c r="E2" s="2" t="d">
        <v>2023-10-26</v>
      </c>
      <c r="F2" s="1" t="s">
        <v>76</v>
      </c>
      <c r="G2" s="1">
        <v>6.19</v>
      </c>
    </row>
    <row r="3" spans="1:7" ht="20" customHeight="1" x14ac:dyDescent="0.2">
      <c r="A3" s="1">
        <f t="shared" ref="A3:A66" si="0">ROW()-1</f>
        <v>2</v>
      </c>
      <c r="B3" s="1" t="s">
        <v>3</v>
      </c>
      <c r="C3" s="1" t="s">
        <v>83</v>
      </c>
      <c r="D3" s="2" t="d">
        <v>2022-10-27</v>
      </c>
      <c r="E3" s="2" t="d">
        <v>2023-10-27</v>
      </c>
      <c r="F3" s="1" t="s">
        <v>76</v>
      </c>
      <c r="G3" s="1">
        <v>52.19</v>
      </c>
    </row>
    <row r="4" spans="1:7" ht="20" customHeight="1" x14ac:dyDescent="0.2">
      <c r="A4" s="1">
        <f t="shared" si="0"/>
        <v>3</v>
      </c>
      <c r="B4" s="1" t="s">
        <v>4</v>
      </c>
      <c r="C4" s="1" t="s">
        <v>84</v>
      </c>
      <c r="D4" s="2" t="d">
        <v>2022-11-25</v>
      </c>
      <c r="E4" s="2" t="d">
        <v>2023-11-25</v>
      </c>
      <c r="F4" s="1" t="s">
        <v>76</v>
      </c>
      <c r="G4" s="1">
        <v>7</v>
      </c>
    </row>
    <row r="5" spans="1:7" ht="20" customHeight="1" x14ac:dyDescent="0.2">
      <c r="A5" s="1">
        <f t="shared" si="0"/>
        <v>4</v>
      </c>
      <c r="B5" s="1" t="s">
        <v>5</v>
      </c>
      <c r="C5" s="1" t="s">
        <v>85</v>
      </c>
      <c r="D5" s="2" t="d">
        <v>2022-12-24</v>
      </c>
      <c r="E5" s="2" t="d">
        <v>2023-12-24</v>
      </c>
      <c r="F5" s="1" t="s">
        <v>76</v>
      </c>
      <c r="G5" s="1">
        <v>18.25</v>
      </c>
    </row>
    <row r="6" spans="1:7" ht="20" customHeight="1" x14ac:dyDescent="0.2">
      <c r="A6" s="1">
        <f t="shared" si="0"/>
        <v>5</v>
      </c>
      <c r="B6" s="1" t="s">
        <v>6</v>
      </c>
      <c r="C6" s="1" t="s">
        <v>86</v>
      </c>
      <c r="D6" s="2" t="d">
        <v>2022-12-24</v>
      </c>
      <c r="E6" s="2" t="d">
        <v>2023-12-24</v>
      </c>
      <c r="F6" s="1" t="s">
        <v>76</v>
      </c>
      <c r="G6" s="1">
        <v>48.78</v>
      </c>
    </row>
    <row r="7" spans="1:7" ht="20" customHeight="1" x14ac:dyDescent="0.2">
      <c r="A7" s="1">
        <f t="shared" si="0"/>
        <v>6</v>
      </c>
      <c r="B7" s="1" t="s">
        <v>7</v>
      </c>
      <c r="C7" s="1" t="s">
        <v>87</v>
      </c>
      <c r="D7" s="2" t="d">
        <v>2022-12-30</v>
      </c>
      <c r="E7" s="2" t="d">
        <v>2023-12-30</v>
      </c>
      <c r="F7" s="1" t="s">
        <v>76</v>
      </c>
      <c r="G7" s="1">
        <v>-53.28</v>
      </c>
    </row>
    <row r="8" spans="1:7" ht="20" customHeight="1" x14ac:dyDescent="0.2">
      <c r="A8" s="1">
        <f t="shared" si="0"/>
        <v>7</v>
      </c>
      <c r="B8" s="1" t="s">
        <v>8</v>
      </c>
      <c r="C8" s="1" t="s">
        <v>88</v>
      </c>
      <c r="D8" s="2" t="d">
        <v>2023-01-14</v>
      </c>
      <c r="E8" s="2" t="d">
        <v>2024-01-14</v>
      </c>
      <c r="F8" s="1" t="s">
        <v>76</v>
      </c>
      <c r="G8" s="1">
        <v>32.18</v>
      </c>
    </row>
    <row r="9" spans="1:7" ht="20" customHeight="1" x14ac:dyDescent="0.2">
      <c r="A9" s="1">
        <f t="shared" si="0"/>
        <v>8</v>
      </c>
      <c r="B9" s="1" t="s">
        <v>9</v>
      </c>
      <c r="C9" s="1" t="s">
        <v>89</v>
      </c>
      <c r="D9" s="2" t="d">
        <v>2023-03-15</v>
      </c>
      <c r="E9" s="2" t="d">
        <v>2024-03-15</v>
      </c>
      <c r="F9" s="1" t="s">
        <v>76</v>
      </c>
      <c r="G9" s="1">
        <v>24.2</v>
      </c>
    </row>
    <row r="10" spans="1:7" ht="20" customHeight="1" x14ac:dyDescent="0.2">
      <c r="A10" s="1">
        <f t="shared" si="0"/>
        <v>9</v>
      </c>
      <c r="B10" s="1" t="s">
        <v>10</v>
      </c>
      <c r="C10" s="1" t="s">
        <v>90</v>
      </c>
      <c r="D10" s="2" t="d">
        <v>2023-03-17</v>
      </c>
      <c r="E10" s="2" t="d">
        <v>2024-03-17</v>
      </c>
      <c r="F10" s="1" t="s">
        <v>76</v>
      </c>
      <c r="G10" s="1">
        <v>16.98</v>
      </c>
    </row>
    <row r="11" spans="1:7" ht="20" customHeight="1" x14ac:dyDescent="0.2">
      <c r="A11" s="1">
        <f t="shared" si="0"/>
        <v>10</v>
      </c>
      <c r="B11" s="1" t="s">
        <v>11</v>
      </c>
      <c r="C11" s="1" t="s">
        <v>91</v>
      </c>
      <c r="D11" s="2" t="d">
        <v>2023-04-01</v>
      </c>
      <c r="E11" s="2" t="d">
        <v>2024-04-01</v>
      </c>
      <c r="F11" s="1" t="s">
        <v>76</v>
      </c>
      <c r="G11" s="1">
        <v>10.51</v>
      </c>
    </row>
    <row r="12" spans="1:7" ht="20" customHeight="1" x14ac:dyDescent="0.2">
      <c r="A12" s="1">
        <f t="shared" si="0"/>
        <v>11</v>
      </c>
      <c r="B12" s="1" t="s">
        <v>12</v>
      </c>
      <c r="C12" s="1" t="s">
        <v>92</v>
      </c>
      <c r="D12" s="2" t="d">
        <v>2023-04-02</v>
      </c>
      <c r="E12" s="2" t="d">
        <v>2024-04-02</v>
      </c>
      <c r="F12" s="1" t="s">
        <v>76</v>
      </c>
      <c r="G12" s="1">
        <v>5.23</v>
      </c>
    </row>
    <row r="13" spans="1:7" ht="20" customHeight="1" x14ac:dyDescent="0.2">
      <c r="A13" s="1">
        <f t="shared" si="0"/>
        <v>12</v>
      </c>
      <c r="B13" s="1" t="s">
        <v>13</v>
      </c>
      <c r="C13" s="1" t="s">
        <v>93</v>
      </c>
      <c r="D13" s="2" t="d">
        <v>2023-04-02</v>
      </c>
      <c r="E13" s="2" t="d">
        <v>2024-04-02</v>
      </c>
      <c r="F13" s="1" t="s">
        <v>76</v>
      </c>
      <c r="G13" s="1">
        <v>272.31</v>
      </c>
    </row>
    <row r="14" spans="1:7" ht="20" customHeight="1" x14ac:dyDescent="0.2">
      <c r="A14" s="1">
        <f t="shared" si="0"/>
        <v>13</v>
      </c>
      <c r="B14" s="1" t="s">
        <v>14</v>
      </c>
      <c r="C14" s="1" t="s">
        <v>94</v>
      </c>
      <c r="D14" s="2" t="d">
        <v>2023-04-06</v>
      </c>
      <c r="E14" s="2" t="d">
        <v>2024-04-06</v>
      </c>
      <c r="F14" s="1" t="s">
        <v>76</v>
      </c>
      <c r="G14" s="1">
        <v>12.46</v>
      </c>
    </row>
    <row r="15" spans="1:7" ht="20" customHeight="1" x14ac:dyDescent="0.2">
      <c r="A15" s="1">
        <f t="shared" si="0"/>
        <v>14</v>
      </c>
      <c r="B15" s="1" t="s">
        <v>15</v>
      </c>
      <c r="C15" s="1" t="s">
        <v>95</v>
      </c>
      <c r="D15" s="2" t="d">
        <v>2023-04-20</v>
      </c>
      <c r="E15" s="2" t="d">
        <v>2024-04-20</v>
      </c>
      <c r="F15" s="1" t="s">
        <v>76</v>
      </c>
      <c r="G15" s="1">
        <v>20.8</v>
      </c>
    </row>
    <row r="16" spans="1:7" ht="20" customHeight="1" x14ac:dyDescent="0.2">
      <c r="A16" s="1">
        <f t="shared" si="0"/>
        <v>15</v>
      </c>
      <c r="B16" s="1" t="s">
        <v>16</v>
      </c>
      <c r="C16" s="1" t="s">
        <v>96</v>
      </c>
      <c r="D16" s="2" t="d">
        <v>2023-04-23</v>
      </c>
      <c r="E16" s="2" t="d">
        <v>2024-04-23</v>
      </c>
      <c r="F16" s="1" t="s">
        <v>76</v>
      </c>
      <c r="G16" s="1">
        <v>50.79</v>
      </c>
    </row>
    <row r="17" spans="1:7" ht="20" customHeight="1" x14ac:dyDescent="0.2">
      <c r="A17" s="1">
        <f t="shared" si="0"/>
        <v>16</v>
      </c>
      <c r="B17" s="1" t="s">
        <v>17</v>
      </c>
      <c r="C17" s="1" t="s">
        <v>97</v>
      </c>
      <c r="D17" s="2" t="d">
        <v>2023-04-23</v>
      </c>
      <c r="E17" s="2" t="d">
        <v>2024-04-23</v>
      </c>
      <c r="F17" s="1" t="s">
        <v>76</v>
      </c>
      <c r="G17" s="1">
        <v>25.13</v>
      </c>
    </row>
    <row r="18" spans="1:7" ht="20" customHeight="1" x14ac:dyDescent="0.2">
      <c r="A18" s="1">
        <f t="shared" si="0"/>
        <v>17</v>
      </c>
      <c r="B18" s="1" t="s">
        <v>18</v>
      </c>
      <c r="C18" s="1" t="s">
        <v>98</v>
      </c>
      <c r="D18" s="2" t="d">
        <v>2023-05-12</v>
      </c>
      <c r="E18" s="2" t="d">
        <v>2024-05-12</v>
      </c>
      <c r="F18" s="1" t="s">
        <v>76</v>
      </c>
      <c r="G18" s="1">
        <v>206.25</v>
      </c>
    </row>
    <row r="19" spans="1:7" ht="20" customHeight="1" x14ac:dyDescent="0.2">
      <c r="A19" s="1">
        <f t="shared" si="0"/>
        <v>18</v>
      </c>
      <c r="B19" s="1" t="s">
        <v>19</v>
      </c>
      <c r="C19" s="1" t="s">
        <v>99</v>
      </c>
      <c r="D19" s="2" t="d">
        <v>2023-05-17</v>
      </c>
      <c r="E19" s="2" t="d">
        <v>2024-05-17</v>
      </c>
      <c r="F19" s="1" t="s">
        <v>76</v>
      </c>
      <c r="G19" s="1">
        <v>46.12</v>
      </c>
    </row>
    <row r="20" spans="1:7" ht="20" customHeight="1" x14ac:dyDescent="0.2">
      <c r="A20" s="1">
        <f t="shared" si="0"/>
        <v>19</v>
      </c>
      <c r="B20" s="1" t="s">
        <v>20</v>
      </c>
      <c r="C20" s="1" t="s">
        <v>100</v>
      </c>
      <c r="D20" s="2" t="d">
        <v>2023-05-26</v>
      </c>
      <c r="E20" s="2" t="d">
        <v>2024-05-26</v>
      </c>
      <c r="F20" s="1" t="s">
        <v>76</v>
      </c>
      <c r="G20" s="1">
        <v>48.06</v>
      </c>
    </row>
    <row r="21" spans="1:7" ht="20" customHeight="1" x14ac:dyDescent="0.2">
      <c r="A21" s="1">
        <f t="shared" si="0"/>
        <v>20</v>
      </c>
      <c r="B21" s="1" t="s">
        <v>21</v>
      </c>
      <c r="C21" s="1" t="s">
        <v>101</v>
      </c>
      <c r="D21" s="2" t="d">
        <v>2023-06-18</v>
      </c>
      <c r="E21" s="2" t="d">
        <v>2024-06-18</v>
      </c>
      <c r="F21" s="1" t="s">
        <v>76</v>
      </c>
      <c r="G21" s="1">
        <v>39.4</v>
      </c>
    </row>
    <row r="22" spans="1:7" ht="20" customHeight="1" x14ac:dyDescent="0.2">
      <c r="A22" s="1">
        <f t="shared" si="0"/>
        <v>21</v>
      </c>
      <c r="B22" s="1" t="s">
        <v>22</v>
      </c>
      <c r="C22" s="1" t="s">
        <v>102</v>
      </c>
      <c r="D22" s="2" t="d">
        <v>2023-06-18</v>
      </c>
      <c r="E22" s="2" t="d">
        <v>2024-06-18</v>
      </c>
      <c r="F22" s="1" t="s">
        <v>76</v>
      </c>
      <c r="G22" s="1">
        <v>45.87</v>
      </c>
    </row>
    <row r="23" spans="1:7" ht="20" customHeight="1" x14ac:dyDescent="0.2">
      <c r="A23" s="1">
        <f t="shared" si="0"/>
        <v>22</v>
      </c>
      <c r="B23" s="1" t="s">
        <v>23</v>
      </c>
      <c r="C23" s="1" t="s">
        <v>103</v>
      </c>
      <c r="D23" s="2" t="d">
        <v>2023-06-21</v>
      </c>
      <c r="E23" s="2" t="d">
        <v>2024-06-21</v>
      </c>
      <c r="F23" s="1" t="s">
        <v>76</v>
      </c>
      <c r="G23" s="1">
        <v>163.96</v>
      </c>
    </row>
    <row r="24" spans="1:7" ht="20" customHeight="1" x14ac:dyDescent="0.2">
      <c r="A24" s="1">
        <f t="shared" si="0"/>
        <v>23</v>
      </c>
      <c r="B24" s="1" t="s">
        <v>24</v>
      </c>
      <c r="C24" s="1" t="s">
        <v>104</v>
      </c>
      <c r="D24" s="2" t="d">
        <v>2023-06-28</v>
      </c>
      <c r="E24" s="2" t="d">
        <v>2024-06-28</v>
      </c>
      <c r="F24" s="1" t="s">
        <v>76</v>
      </c>
      <c r="G24" s="1">
        <v>71.2</v>
      </c>
    </row>
    <row r="25" spans="1:7" ht="20" customHeight="1" x14ac:dyDescent="0.2">
      <c r="A25" s="1">
        <f t="shared" si="0"/>
        <v>24</v>
      </c>
      <c r="B25" s="1" t="s">
        <v>25</v>
      </c>
      <c r="C25" s="1" t="s">
        <v>105</v>
      </c>
      <c r="D25" s="2" t="d">
        <v>2023-06-30</v>
      </c>
      <c r="E25" s="2" t="d">
        <v>2024-06-30</v>
      </c>
      <c r="F25" s="1" t="s">
        <v>76</v>
      </c>
      <c r="G25" s="1">
        <v>50.71</v>
      </c>
    </row>
    <row r="26" spans="1:7" ht="20" customHeight="1" x14ac:dyDescent="0.2">
      <c r="A26" s="1">
        <f t="shared" si="0"/>
        <v>25</v>
      </c>
      <c r="B26" s="1" t="s">
        <v>26</v>
      </c>
      <c r="C26" s="1" t="s">
        <v>106</v>
      </c>
      <c r="D26" s="2" t="d">
        <v>2023-07-15</v>
      </c>
      <c r="E26" s="2" t="d">
        <v>2024-07-15</v>
      </c>
      <c r="F26" s="1" t="s">
        <v>76</v>
      </c>
      <c r="G26" s="1">
        <v>12.72</v>
      </c>
    </row>
    <row r="27" spans="1:7" ht="20" customHeight="1" x14ac:dyDescent="0.2">
      <c r="A27" s="1">
        <f t="shared" si="0"/>
        <v>26</v>
      </c>
      <c r="B27" s="1" t="s">
        <v>27</v>
      </c>
      <c r="C27" s="1" t="s">
        <v>107</v>
      </c>
      <c r="D27" s="2" t="d">
        <v>2023-07-15</v>
      </c>
      <c r="E27" s="2" t="d">
        <v>2024-07-15</v>
      </c>
      <c r="F27" s="1" t="s">
        <v>76</v>
      </c>
      <c r="G27" s="1">
        <v>66.19</v>
      </c>
    </row>
    <row r="28" spans="1:7" ht="20" customHeight="1" x14ac:dyDescent="0.2">
      <c r="A28" s="1">
        <f t="shared" si="0"/>
        <v>27</v>
      </c>
      <c r="B28" s="1" t="s">
        <v>28</v>
      </c>
      <c r="C28" s="1" t="s">
        <v>108</v>
      </c>
      <c r="D28" s="2" t="d">
        <v>2023-08-16</v>
      </c>
      <c r="E28" s="2" t="d">
        <v>2024-08-16</v>
      </c>
      <c r="F28" s="1" t="s">
        <v>76</v>
      </c>
      <c r="G28" s="1">
        <v>25.94</v>
      </c>
    </row>
    <row r="29" spans="1:7" ht="20" customHeight="1" x14ac:dyDescent="0.2">
      <c r="A29" s="1">
        <f t="shared" si="0"/>
        <v>28</v>
      </c>
      <c r="B29" s="1" t="s">
        <v>29</v>
      </c>
      <c r="C29" s="1" t="s">
        <v>109</v>
      </c>
      <c r="D29" s="2" t="d">
        <v>2023-08-16</v>
      </c>
      <c r="E29" s="2" t="d">
        <v>2024-08-16</v>
      </c>
      <c r="F29" s="1" t="s">
        <v>76</v>
      </c>
      <c r="G29" s="1">
        <v>89.24</v>
      </c>
    </row>
    <row r="30" spans="1:7" ht="20" customHeight="1" x14ac:dyDescent="0.2">
      <c r="A30" s="1">
        <f t="shared" si="0"/>
        <v>29</v>
      </c>
      <c r="B30" s="1" t="s">
        <v>30</v>
      </c>
      <c r="C30" s="1" t="s">
        <v>110</v>
      </c>
      <c r="D30" s="2" t="d">
        <v>2023-08-23</v>
      </c>
      <c r="E30" s="2" t="d">
        <v>2024-08-23</v>
      </c>
      <c r="F30" s="1" t="s">
        <v>76</v>
      </c>
      <c r="G30" s="1">
        <v>31.91</v>
      </c>
    </row>
    <row r="31" spans="1:7" ht="20" customHeight="1" x14ac:dyDescent="0.2">
      <c r="A31" s="1">
        <f t="shared" si="0"/>
        <v>30</v>
      </c>
      <c r="B31" s="1" t="s">
        <v>31</v>
      </c>
      <c r="C31" s="1" t="s">
        <v>111</v>
      </c>
      <c r="D31" s="2" t="d">
        <v>2023-08-23</v>
      </c>
      <c r="E31" s="2" t="d">
        <v>2024-08-23</v>
      </c>
      <c r="F31" s="1" t="s">
        <v>76</v>
      </c>
      <c r="G31" s="1">
        <v>255.64</v>
      </c>
    </row>
    <row r="32" spans="1:7" ht="20" customHeight="1" x14ac:dyDescent="0.2">
      <c r="A32" s="1">
        <f t="shared" si="0"/>
        <v>31</v>
      </c>
      <c r="B32" s="1" t="s">
        <v>32</v>
      </c>
      <c r="C32" s="1" t="s">
        <v>112</v>
      </c>
      <c r="D32" s="2" t="d">
        <v>2023-08-23</v>
      </c>
      <c r="E32" s="2" t="d">
        <v>2024-08-23</v>
      </c>
      <c r="F32" s="1" t="s">
        <v>76</v>
      </c>
      <c r="G32" s="1">
        <v>113.01</v>
      </c>
    </row>
    <row r="33" spans="1:7" ht="20" customHeight="1" x14ac:dyDescent="0.2">
      <c r="A33" s="1">
        <f t="shared" si="0"/>
        <v>32</v>
      </c>
      <c r="B33" s="1" t="s">
        <v>33</v>
      </c>
      <c r="C33" s="1" t="s">
        <v>113</v>
      </c>
      <c r="D33" s="2" t="d">
        <v>2023-08-31</v>
      </c>
      <c r="E33" s="2" t="d">
        <v>2024-08-31</v>
      </c>
      <c r="F33" s="1" t="s">
        <v>76</v>
      </c>
      <c r="G33" s="1">
        <v>151.44999999999999</v>
      </c>
    </row>
    <row r="34" spans="1:7" ht="20" customHeight="1" x14ac:dyDescent="0.2">
      <c r="A34" s="1">
        <f t="shared" si="0"/>
        <v>33</v>
      </c>
      <c r="B34" s="1" t="s">
        <v>34</v>
      </c>
      <c r="C34" s="1" t="s">
        <v>114</v>
      </c>
      <c r="D34" s="2" t="d">
        <v>2023-09-27</v>
      </c>
      <c r="E34" s="2" t="d">
        <v>2024-09-27</v>
      </c>
      <c r="F34" s="1" t="s">
        <v>76</v>
      </c>
      <c r="G34" s="1">
        <v>14.29</v>
      </c>
    </row>
    <row r="35" spans="1:7" ht="20" customHeight="1" x14ac:dyDescent="0.2">
      <c r="A35" s="1">
        <f t="shared" si="0"/>
        <v>34</v>
      </c>
      <c r="B35" s="1" t="s">
        <v>35</v>
      </c>
      <c r="C35" s="1" t="s">
        <v>115</v>
      </c>
      <c r="D35" s="2" t="d">
        <v>2023-10-01</v>
      </c>
      <c r="E35" s="2" t="d">
        <v>2024-10-01</v>
      </c>
      <c r="F35" s="1" t="s">
        <v>76</v>
      </c>
      <c r="G35" s="1">
        <v>56.82</v>
      </c>
    </row>
    <row r="36" spans="1:7" ht="20" customHeight="1" x14ac:dyDescent="0.2">
      <c r="A36" s="1">
        <f t="shared" si="0"/>
        <v>35</v>
      </c>
      <c r="B36" s="1" t="s">
        <v>36</v>
      </c>
      <c r="C36" s="1" t="s">
        <v>116</v>
      </c>
      <c r="D36" s="2" t="d">
        <v>2023-10-05</v>
      </c>
      <c r="E36" s="2" t="d">
        <v>2024-10-05</v>
      </c>
      <c r="F36" s="1" t="s">
        <v>76</v>
      </c>
      <c r="G36" s="1">
        <v>61.04</v>
      </c>
    </row>
    <row r="37" spans="1:7" ht="20" customHeight="1" x14ac:dyDescent="0.2">
      <c r="A37" s="1">
        <f t="shared" si="0"/>
        <v>36</v>
      </c>
      <c r="B37" s="1" t="s">
        <v>37</v>
      </c>
      <c r="C37" s="1" t="s">
        <v>117</v>
      </c>
      <c r="D37" s="2" t="d">
        <v>2023-10-05</v>
      </c>
      <c r="E37" s="2" t="d">
        <v>2024-10-05</v>
      </c>
      <c r="F37" s="1" t="s">
        <v>76</v>
      </c>
      <c r="G37" s="1">
        <v>48.29</v>
      </c>
    </row>
    <row r="38" spans="1:7" ht="20" customHeight="1" x14ac:dyDescent="0.2">
      <c r="A38" s="1">
        <f t="shared" si="0"/>
        <v>37</v>
      </c>
      <c r="B38" s="1" t="s">
        <v>38</v>
      </c>
      <c r="C38" s="1" t="s">
        <v>118</v>
      </c>
      <c r="D38" s="2" t="d">
        <v>2023-10-11</v>
      </c>
      <c r="E38" s="2" t="d">
        <v>2024-10-11</v>
      </c>
      <c r="F38" s="1" t="s">
        <v>76</v>
      </c>
      <c r="G38" s="1">
        <v>61.7</v>
      </c>
    </row>
    <row r="39" spans="1:7" ht="20" customHeight="1" x14ac:dyDescent="0.2">
      <c r="A39" s="1">
        <f t="shared" si="0"/>
        <v>38</v>
      </c>
      <c r="B39" s="1" t="s">
        <v>39</v>
      </c>
      <c r="C39" s="1" t="s">
        <v>119</v>
      </c>
      <c r="D39" s="2" t="d">
        <v>2023-10-21</v>
      </c>
      <c r="E39" s="2" t="d">
        <v>2024-10-21</v>
      </c>
      <c r="F39" s="1" t="s">
        <v>76</v>
      </c>
      <c r="G39" s="1">
        <v>108.11</v>
      </c>
    </row>
    <row r="40" spans="1:7" ht="20" customHeight="1" x14ac:dyDescent="0.2">
      <c r="A40" s="1">
        <f t="shared" si="0"/>
        <v>39</v>
      </c>
      <c r="B40" s="1" t="s">
        <v>40</v>
      </c>
      <c r="C40" s="1" t="s">
        <v>120</v>
      </c>
      <c r="D40" s="2" t="d">
        <v>2023-10-21</v>
      </c>
      <c r="E40" s="2" t="d">
        <v>2024-10-21</v>
      </c>
      <c r="F40" s="1" t="s">
        <v>76</v>
      </c>
      <c r="G40" s="1">
        <v>406.06</v>
      </c>
    </row>
    <row r="41" spans="1:7" ht="20" customHeight="1" x14ac:dyDescent="0.2">
      <c r="A41" s="1">
        <f t="shared" si="0"/>
        <v>40</v>
      </c>
      <c r="B41" s="1" t="s">
        <v>41</v>
      </c>
      <c r="C41" s="1" t="s">
        <v>121</v>
      </c>
      <c r="D41" s="2" t="d">
        <v>2023-10-22</v>
      </c>
      <c r="E41" s="2" t="d">
        <v>2024-10-22</v>
      </c>
      <c r="F41" s="1" t="s">
        <v>76</v>
      </c>
      <c r="G41" s="1">
        <v>176.7</v>
      </c>
    </row>
    <row r="42" spans="1:7" ht="20" customHeight="1" x14ac:dyDescent="0.2">
      <c r="A42" s="1">
        <f t="shared" si="0"/>
        <v>41</v>
      </c>
      <c r="B42" s="1" t="s">
        <v>42</v>
      </c>
      <c r="C42" s="1" t="s">
        <v>122</v>
      </c>
      <c r="D42" s="2" t="d">
        <v>2023-10-22</v>
      </c>
      <c r="E42" s="2" t="d">
        <v>2024-10-22</v>
      </c>
      <c r="F42" s="1" t="s">
        <v>76</v>
      </c>
      <c r="G42" s="1">
        <v>203.18</v>
      </c>
    </row>
    <row r="43" spans="1:7" ht="20" customHeight="1" x14ac:dyDescent="0.2">
      <c r="A43" s="1">
        <f t="shared" si="0"/>
        <v>42</v>
      </c>
      <c r="B43" s="1" t="s">
        <v>43</v>
      </c>
      <c r="C43" s="1" t="s">
        <v>123</v>
      </c>
      <c r="D43" s="2" t="d">
        <v>2023-11-08</v>
      </c>
      <c r="E43" s="2" t="d">
        <v>2024-11-08</v>
      </c>
      <c r="F43" s="1" t="s">
        <v>76</v>
      </c>
      <c r="G43" s="1">
        <v>75.27</v>
      </c>
    </row>
    <row r="44" spans="1:7" ht="20" customHeight="1" x14ac:dyDescent="0.2">
      <c r="A44" s="1">
        <f t="shared" si="0"/>
        <v>43</v>
      </c>
      <c r="B44" s="1" t="s">
        <v>44</v>
      </c>
      <c r="C44" s="1" t="s">
        <v>124</v>
      </c>
      <c r="D44" s="2" t="d">
        <v>2023-11-30</v>
      </c>
      <c r="E44" s="2" t="d">
        <v>2024-11-30</v>
      </c>
      <c r="F44" s="1" t="s">
        <v>76</v>
      </c>
      <c r="G44" s="1">
        <v>130.22</v>
      </c>
    </row>
    <row r="45" spans="1:7" ht="20" customHeight="1" x14ac:dyDescent="0.2">
      <c r="A45" s="1">
        <f t="shared" si="0"/>
        <v>44</v>
      </c>
      <c r="B45" s="1" t="s">
        <v>45</v>
      </c>
      <c r="C45" s="1" t="s">
        <v>125</v>
      </c>
      <c r="D45" s="2" t="d">
        <v>2023-12-17</v>
      </c>
      <c r="E45" s="2" t="d">
        <v>2024-12-17</v>
      </c>
      <c r="F45" s="1" t="s">
        <v>76</v>
      </c>
      <c r="G45" s="1">
        <v>57.59</v>
      </c>
    </row>
    <row r="46" spans="1:7" ht="20" customHeight="1" x14ac:dyDescent="0.2">
      <c r="A46" s="1">
        <f t="shared" si="0"/>
        <v>45</v>
      </c>
      <c r="B46" s="1" t="s">
        <v>46</v>
      </c>
      <c r="C46" s="1" t="s">
        <v>126</v>
      </c>
      <c r="D46" s="2" t="d">
        <v>2023-12-24</v>
      </c>
      <c r="E46" s="2" t="d">
        <v>2024-12-24</v>
      </c>
      <c r="F46" s="1" t="s">
        <v>76</v>
      </c>
      <c r="G46" s="1">
        <v>342.66</v>
      </c>
    </row>
    <row r="47" spans="1:7" ht="20" customHeight="1" x14ac:dyDescent="0.2">
      <c r="A47" s="1">
        <f t="shared" si="0"/>
        <v>46</v>
      </c>
      <c r="B47" s="1" t="s">
        <v>47</v>
      </c>
      <c r="C47" s="1" t="s">
        <v>127</v>
      </c>
      <c r="D47" s="2" t="d">
        <v>2023-12-31</v>
      </c>
      <c r="E47" s="2" t="d">
        <v>2024-12-31</v>
      </c>
      <c r="F47" s="1" t="s">
        <v>76</v>
      </c>
      <c r="G47" s="1">
        <v>48</v>
      </c>
    </row>
    <row r="48" spans="1:7" ht="20" customHeight="1" x14ac:dyDescent="0.2">
      <c r="A48" s="1">
        <f t="shared" si="0"/>
        <v>47</v>
      </c>
      <c r="B48" s="1" t="s">
        <v>48</v>
      </c>
      <c r="C48" s="1" t="s">
        <v>128</v>
      </c>
      <c r="D48" s="2" t="d">
        <v>2023-12-31</v>
      </c>
      <c r="E48" s="2" t="d">
        <v>2024-12-31</v>
      </c>
      <c r="F48" s="1" t="s">
        <v>76</v>
      </c>
      <c r="G48" s="1">
        <v>176.87</v>
      </c>
    </row>
    <row r="49" spans="1:7" ht="20" customHeight="1" x14ac:dyDescent="0.2">
      <c r="A49" s="1">
        <f t="shared" si="0"/>
        <v>48</v>
      </c>
      <c r="B49" s="1" t="s">
        <v>49</v>
      </c>
      <c r="C49" s="1" t="s">
        <v>129</v>
      </c>
      <c r="D49" s="2" t="d">
        <v>2023-12-31</v>
      </c>
      <c r="E49" s="2" t="d">
        <v>2024-12-31</v>
      </c>
      <c r="F49" s="1" t="s">
        <v>76</v>
      </c>
      <c r="G49" s="1">
        <v>15.17</v>
      </c>
    </row>
    <row r="50" spans="1:7" ht="20" customHeight="1" x14ac:dyDescent="0.2">
      <c r="A50" s="1">
        <f t="shared" si="0"/>
        <v>49</v>
      </c>
      <c r="B50" s="1" t="s">
        <v>50</v>
      </c>
      <c r="C50" s="1" t="s">
        <v>130</v>
      </c>
      <c r="D50" s="2" t="d">
        <v>2024-01-18</v>
      </c>
      <c r="E50" s="2" t="d">
        <v>2025-01-18</v>
      </c>
      <c r="F50" s="1" t="s">
        <v>76</v>
      </c>
      <c r="G50" s="1">
        <v>25.53</v>
      </c>
    </row>
    <row r="51" spans="1:7" ht="20" customHeight="1" x14ac:dyDescent="0.2">
      <c r="A51" s="1">
        <f t="shared" si="0"/>
        <v>50</v>
      </c>
      <c r="B51" s="1" t="s">
        <v>51</v>
      </c>
      <c r="C51" s="1" t="s">
        <v>131</v>
      </c>
      <c r="D51" s="2" t="d">
        <v>2024-03-29</v>
      </c>
      <c r="E51" s="2" t="d">
        <v>2025-03-29</v>
      </c>
      <c r="F51" s="1" t="s">
        <v>76</v>
      </c>
      <c r="G51" s="1">
        <v>-10.86</v>
      </c>
    </row>
    <row r="52" spans="1:7" ht="20" customHeight="1" x14ac:dyDescent="0.2">
      <c r="A52" s="1">
        <f t="shared" si="0"/>
        <v>51</v>
      </c>
      <c r="B52" s="1" t="s">
        <v>52</v>
      </c>
      <c r="C52" s="1" t="s">
        <v>132</v>
      </c>
      <c r="D52" s="2" t="d">
        <v>2025-02-19</v>
      </c>
      <c r="E52" s="2" t="d">
        <v>2026-02-19</v>
      </c>
      <c r="F52" s="1" t="s">
        <v>76</v>
      </c>
      <c r="G52" s="1">
        <v>143.9</v>
      </c>
    </row>
    <row r="53" spans="1:7" ht="20" customHeight="1" x14ac:dyDescent="0.2">
      <c r="A53" s="1">
        <f t="shared" si="0"/>
        <v>52</v>
      </c>
      <c r="B53" s="1" t="s">
        <v>53</v>
      </c>
      <c r="C53" s="1" t="s">
        <v>133</v>
      </c>
      <c r="D53" s="2" t="d">
        <v>2025-04-18</v>
      </c>
      <c r="E53" s="2" t="d">
        <v>2026-04-18</v>
      </c>
      <c r="F53" s="1" t="s">
        <v>76</v>
      </c>
      <c r="G53" s="1">
        <v>79.94</v>
      </c>
    </row>
    <row r="54" spans="1:7" ht="20" customHeight="1" x14ac:dyDescent="0.2">
      <c r="A54" s="1">
        <f t="shared" si="0"/>
        <v>53</v>
      </c>
      <c r="B54" s="1" t="s">
        <v>54</v>
      </c>
      <c r="C54" s="1" t="s">
        <v>134</v>
      </c>
      <c r="D54" s="2" t="d">
        <v>2025-04-20</v>
      </c>
      <c r="E54" s="2" t="d">
        <v>2026-04-20</v>
      </c>
      <c r="F54" s="1" t="s">
        <v>76</v>
      </c>
      <c r="G54" s="1">
        <v>128.99</v>
      </c>
    </row>
    <row r="55" spans="1:7" ht="20" customHeight="1" x14ac:dyDescent="0.2">
      <c r="A55" s="1">
        <f t="shared" si="0"/>
        <v>54</v>
      </c>
      <c r="B55" s="1" t="s">
        <v>55</v>
      </c>
      <c r="C55" s="1" t="s">
        <v>135</v>
      </c>
      <c r="D55" s="2" t="d">
        <v>2025-05-14</v>
      </c>
      <c r="E55" s="2" t="d">
        <v>2026-05-10</v>
      </c>
      <c r="F55" s="1" t="s">
        <v>76</v>
      </c>
      <c r="G55" s="1">
        <v>102.28</v>
      </c>
    </row>
    <row r="56" spans="1:7" ht="20" customHeight="1" x14ac:dyDescent="0.2">
      <c r="A56" s="1">
        <f t="shared" si="0"/>
        <v>55</v>
      </c>
      <c r="B56" s="1" t="s">
        <v>56</v>
      </c>
      <c r="C56" s="1" t="s">
        <v>136</v>
      </c>
      <c r="D56" s="2" t="d">
        <v>2025-06-06</v>
      </c>
      <c r="E56" s="2" t="d">
        <v>2026-05-10</v>
      </c>
      <c r="F56" s="1" t="s">
        <v>76</v>
      </c>
      <c r="G56" s="1">
        <v>73.400000000000006</v>
      </c>
    </row>
    <row r="57" spans="1:7" ht="20" customHeight="1" x14ac:dyDescent="0.2">
      <c r="A57" s="1">
        <f t="shared" si="0"/>
        <v>56</v>
      </c>
      <c r="B57" s="1" t="s">
        <v>57</v>
      </c>
      <c r="C57" s="1" t="s">
        <v>137</v>
      </c>
      <c r="D57" s="2" t="d">
        <v>2025-07-27</v>
      </c>
      <c r="E57" s="2" t="d">
        <v>2026-05-10</v>
      </c>
      <c r="F57" s="1" t="s">
        <v>76</v>
      </c>
      <c r="G57" s="1">
        <v>14.99</v>
      </c>
    </row>
    <row r="58" spans="1:7" ht="20" customHeight="1" x14ac:dyDescent="0.2">
      <c r="A58" s="1">
        <f t="shared" si="0"/>
        <v>57</v>
      </c>
      <c r="B58" s="1" t="s">
        <v>58</v>
      </c>
      <c r="C58" s="1" t="s">
        <v>138</v>
      </c>
      <c r="D58" s="2" t="d">
        <v>2025-07-30</v>
      </c>
      <c r="E58" s="2" t="d">
        <v>2026-05-10</v>
      </c>
      <c r="F58" s="1" t="s">
        <v>76</v>
      </c>
      <c r="G58" s="1">
        <v>-19.14</v>
      </c>
    </row>
    <row r="59" spans="1:7" ht="20" customHeight="1" x14ac:dyDescent="0.2">
      <c r="A59" s="1">
        <f t="shared" si="0"/>
        <v>58</v>
      </c>
      <c r="B59" s="1" t="s">
        <v>59</v>
      </c>
      <c r="C59" s="1" t="s">
        <v>139</v>
      </c>
      <c r="D59" s="2" t="d">
        <v>2025-08-30</v>
      </c>
      <c r="E59" s="2" t="d">
        <v>2026-05-10</v>
      </c>
      <c r="F59" s="1" t="s">
        <v>76</v>
      </c>
      <c r="G59" s="1">
        <v>-5.03</v>
      </c>
    </row>
    <row r="60" spans="1:7" ht="20" customHeight="1" x14ac:dyDescent="0.2">
      <c r="A60" s="1">
        <f t="shared" si="0"/>
        <v>59</v>
      </c>
      <c r="B60" s="1" t="s">
        <v>60</v>
      </c>
      <c r="C60" s="1" t="s">
        <v>140</v>
      </c>
      <c r="D60" s="2" t="d">
        <v>2025-09-11</v>
      </c>
      <c r="E60" s="2" t="d">
        <v>2026-05-10</v>
      </c>
      <c r="F60" s="1" t="s">
        <v>76</v>
      </c>
      <c r="G60" s="1">
        <v>92.16</v>
      </c>
    </row>
    <row r="61" spans="1:7" ht="20" customHeight="1" x14ac:dyDescent="0.2">
      <c r="A61" s="1">
        <f t="shared" si="0"/>
        <v>60</v>
      </c>
      <c r="B61" s="1" t="s">
        <v>61</v>
      </c>
      <c r="C61" s="1" t="s">
        <v>141</v>
      </c>
      <c r="D61" s="2" t="d">
        <v>2025-11-14</v>
      </c>
      <c r="E61" s="2" t="d">
        <v>2026-05-10</v>
      </c>
      <c r="F61" s="1" t="s">
        <v>76</v>
      </c>
      <c r="G61" s="1">
        <v>21.55</v>
      </c>
    </row>
    <row r="62" spans="1:7" ht="20" customHeight="1" x14ac:dyDescent="0.2">
      <c r="A62" s="1">
        <f t="shared" si="0"/>
        <v>61</v>
      </c>
      <c r="B62" s="1" t="s">
        <v>62</v>
      </c>
      <c r="C62" s="1" t="s">
        <v>142</v>
      </c>
      <c r="D62" s="2" t="d">
        <v>2025-11-16</v>
      </c>
      <c r="E62" s="2" t="d">
        <v>2026-05-10</v>
      </c>
      <c r="F62" s="1" t="s">
        <v>76</v>
      </c>
      <c r="G62" s="1">
        <v>14.31</v>
      </c>
    </row>
    <row r="63" spans="1:7" ht="20" customHeight="1" x14ac:dyDescent="0.2">
      <c r="A63" s="1">
        <f t="shared" si="0"/>
        <v>62</v>
      </c>
      <c r="B63" s="1" t="s">
        <v>63</v>
      </c>
      <c r="C63" s="1" t="s">
        <v>143</v>
      </c>
      <c r="D63" s="2" t="d">
        <v>2025-11-19</v>
      </c>
      <c r="E63" s="2" t="d">
        <v>2026-05-10</v>
      </c>
      <c r="F63" s="1" t="s">
        <v>76</v>
      </c>
      <c r="G63" s="1">
        <v>129.68</v>
      </c>
    </row>
    <row r="64" spans="1:7" ht="20" customHeight="1" x14ac:dyDescent="0.2">
      <c r="A64" s="1">
        <f t="shared" si="0"/>
        <v>63</v>
      </c>
      <c r="B64" s="1" t="s">
        <v>64</v>
      </c>
      <c r="C64" s="1" t="s">
        <v>144</v>
      </c>
      <c r="D64" s="2" t="d">
        <v>2025-11-20</v>
      </c>
      <c r="E64" s="2" t="d">
        <v>2026-05-10</v>
      </c>
      <c r="F64" s="1" t="s">
        <v>76</v>
      </c>
      <c r="G64" s="1">
        <v>-3.38</v>
      </c>
    </row>
    <row r="65" spans="1:7" ht="20" customHeight="1" x14ac:dyDescent="0.2">
      <c r="A65" s="1">
        <f t="shared" si="0"/>
        <v>64</v>
      </c>
      <c r="B65" s="1" t="s">
        <v>65</v>
      </c>
      <c r="C65" s="1" t="s">
        <v>145</v>
      </c>
      <c r="D65" s="2" t="d">
        <v>2025-11-21</v>
      </c>
      <c r="E65" s="2" t="d">
        <v>2026-05-10</v>
      </c>
      <c r="F65" s="1" t="s">
        <v>76</v>
      </c>
      <c r="G65" s="1">
        <v>23.9</v>
      </c>
    </row>
    <row r="66" spans="1:7" ht="20" customHeight="1" x14ac:dyDescent="0.2">
      <c r="A66" s="1">
        <f t="shared" si="0"/>
        <v>65</v>
      </c>
      <c r="B66" s="1" t="s">
        <v>66</v>
      </c>
      <c r="C66" s="1" t="s">
        <v>146</v>
      </c>
      <c r="D66" s="2" t="d">
        <v>2025-11-21</v>
      </c>
      <c r="E66" s="2" t="d">
        <v>2026-05-10</v>
      </c>
      <c r="F66" s="1" t="s">
        <v>76</v>
      </c>
      <c r="G66" s="1">
        <v>338.66</v>
      </c>
    </row>
    <row r="67" spans="1:7" ht="20" customHeight="1" x14ac:dyDescent="0.2">
      <c r="A67" s="1">
        <f t="shared" ref="A67:A71" si="1">ROW()-1</f>
        <v>66</v>
      </c>
      <c r="B67" s="1" t="s">
        <v>67</v>
      </c>
      <c r="C67" s="1" t="s">
        <v>147</v>
      </c>
      <c r="D67" s="2" t="d">
        <v>2025-11-26</v>
      </c>
      <c r="E67" s="2" t="d">
        <v>2026-05-10</v>
      </c>
      <c r="F67" s="1" t="s">
        <v>76</v>
      </c>
      <c r="G67" s="1">
        <v>175.94</v>
      </c>
    </row>
    <row r="68" spans="1:7" ht="20" customHeight="1" x14ac:dyDescent="0.2">
      <c r="A68" s="1">
        <f t="shared" si="1"/>
        <v>67</v>
      </c>
      <c r="B68" s="1" t="s">
        <v>68</v>
      </c>
      <c r="C68" s="1" t="s">
        <v>148</v>
      </c>
      <c r="D68" s="2" t="d">
        <v>2025-12-04</v>
      </c>
      <c r="E68" s="2" t="d">
        <v>2026-05-10</v>
      </c>
      <c r="F68" s="1" t="s">
        <v>76</v>
      </c>
      <c r="G68" s="1">
        <v>61.11</v>
      </c>
    </row>
    <row r="69" spans="1:7" ht="20" customHeight="1" x14ac:dyDescent="0.2">
      <c r="A69" s="1">
        <f t="shared" si="1"/>
        <v>68</v>
      </c>
      <c r="B69" s="1" t="s">
        <v>69</v>
      </c>
      <c r="C69" s="1" t="s">
        <v>149</v>
      </c>
      <c r="D69" s="2" t="d">
        <v>2025-12-20</v>
      </c>
      <c r="E69" s="2" t="d">
        <v>2026-05-10</v>
      </c>
      <c r="F69" s="1" t="s">
        <v>76</v>
      </c>
      <c r="G69" s="1">
        <v>113.93</v>
      </c>
    </row>
    <row r="70" spans="1:7" ht="20" customHeight="1" x14ac:dyDescent="0.2">
      <c r="A70" s="1">
        <f t="shared" si="1"/>
        <v>69</v>
      </c>
      <c r="B70" s="1" t="s">
        <v>70</v>
      </c>
      <c r="C70" s="1" t="s">
        <v>70</v>
      </c>
      <c r="D70" s="2" t="d">
        <v>2026-02-26</v>
      </c>
      <c r="E70" s="2" t="d">
        <v>2026-05-10</v>
      </c>
      <c r="F70" s="1" t="s">
        <v>76</v>
      </c>
      <c r="G70" s="1">
        <v>9.64</v>
      </c>
    </row>
    <row r="71" spans="1:7" ht="20" customHeight="1" x14ac:dyDescent="0.2">
      <c r="A71" s="1">
        <f t="shared" si="1"/>
        <v>70</v>
      </c>
      <c r="B71" s="1" t="s">
        <v>71</v>
      </c>
      <c r="C71" s="1" t="s">
        <v>150</v>
      </c>
      <c r="D71" s="2" t="d">
        <v>2026-02-26</v>
      </c>
      <c r="E71" s="2" t="d">
        <v>2026-05-10</v>
      </c>
      <c r="F71" s="3" t="s">
        <v>76</v>
      </c>
      <c r="G71" s="3">
        <v>111.29</v>
      </c>
    </row>
    <row r="72" spans="1:7" ht="20" customHeight="1" x14ac:dyDescent="0.2">
      <c r="F72" s="20" t="s">
        <v>151</v>
      </c>
      <c r="G72" s="21">
        <f>AVERAGE(G2:G71)</f>
        <v>79.602142857142823</v>
      </c>
    </row>
    <row r="73" spans="1:7" ht="20" customHeight="1" x14ac:dyDescent="0.2">
      <c r="F73" s="20" t="s">
        <v>152</v>
      </c>
      <c r="G73" s="21">
        <f>((1+G72/100)^(365/365)-1)*100</f>
        <v>79.602142857142823</v>
      </c>
    </row>
    <row r="74" spans="1:7" x14ac:dyDescent="0.2">
      <c r="F74" s="20" t="s">
        <v>166</v>
      </c>
      <c r="G74" s="21">
        <f>MEDIAN(G2:G71)</f>
        <v>50.75</v>
      </c>
    </row>
    <row r="76" spans="1:7" x14ac:dyDescent="0.2">
      <c r="E76" s="23" t="s">
        <v>168</v>
      </c>
      <c r="F76">
        <v>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listings_1_months_missed10d</vt:lpstr>
      <vt:lpstr>listings_45_days_missed10d</vt:lpstr>
      <vt:lpstr>listings_2_months_missed10d</vt:lpstr>
      <vt:lpstr>listings_4_months_missed10d</vt:lpstr>
      <vt:lpstr>listings_6_months_missed10d</vt:lpstr>
      <vt:lpstr>listings_1_year_missed10d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Y Gurung</dc:creator>
  <cp:lastModifiedBy>Karma Y Gurung</cp:lastModifiedBy>
  <dcterms:created xsi:type="dcterms:W3CDTF">2026-05-09T19:23:38Z</dcterms:created>
  <dcterms:modified xsi:type="dcterms:W3CDTF">2026-05-10T13:56:44Z</dcterms:modified>
</cp:coreProperties>
</file>